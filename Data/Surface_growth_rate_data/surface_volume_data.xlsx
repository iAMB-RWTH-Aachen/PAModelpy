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\home\claud\PythonProject\iamb-student-folders\iamb-folder-template\40-49_Experiments\40_Raw_Data\"/>
    </mc:Choice>
  </mc:AlternateContent>
  <xr:revisionPtr revIDLastSave="0" documentId="13_ncr:1_{A04F8F66-D034-4A22-B70E-4E1BC9DA3744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Szenk_Paper" sheetId="1" r:id="rId1"/>
    <sheet name="Heinemann_paper" sheetId="5" r:id="rId2"/>
    <sheet name="bacteria shape" sheetId="6" r:id="rId3"/>
  </sheets>
  <definedNames>
    <definedName name="ExternalData_1" localSheetId="1" hidden="1">Heinemann_paper!$L$1:$L$25</definedName>
    <definedName name="ExterneDaten_2" localSheetId="1" hidden="1">Heinemann_paper!$A$1:$D$25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4" i="5" l="1"/>
  <c r="M25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" i="5"/>
  <c r="J2" i="5" l="1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G2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tc={32810EBC-2683-4D6F-BD9D-B0697A60BB76}</author>
  </authors>
  <commentList>
    <comment ref="A2" authorId="0" shapeId="0" xr:uid="{32810EBC-2683-4D6F-BD9D-B0697A60BB76}">
      <text>
        <r>
          <rPr>
            <sz val="11"/>
            <color theme="1"/>
            <rFont val="Calibri"/>
            <family val="2"/>
            <scheme val="minor"/>
          </rPr>
  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(um^2/fL) ???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tc={EB7CC82C-10DE-43E8-BE0F-87CF4E164AEF}</author>
    <author>tc={E63949ED-433C-4397-B24E-84CB14F9EB7B}</author>
  </authors>
  <commentList>
    <comment ref="E1" authorId="0" shapeId="0" xr:uid="{EB7CC82C-10DE-43E8-BE0F-87CF4E164AEF}">
      <text>
        <r>
          <rPr>
            <sz val="11"/>
            <color theme="1"/>
            <rFont val="Calibri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See sheet "bacteria shape"</t>
        </r>
      </text>
    </comment>
    <comment ref="F1" authorId="1" shapeId="0" xr:uid="{E63949ED-433C-4397-B24E-84CB14F9EB7B}">
      <text>
        <r>
          <rPr>
            <sz val="11"/>
            <color theme="1"/>
            <rFont val="Calibri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See sheet "bacteria shape"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B81961-E687-400F-BFD2-07B27E45FD0D}" keepAlive="1" name="Abfrage - Heinemann_cell_length_width_data" description="Verbindung mit der Abfrage 'Heinemann_cell_length_width_data' in der Arbeitsmappe." type="5" refreshedVersion="8" background="1" saveData="1">
    <dbPr connection="Provider=Microsoft.Mashup.OleDb.1;Data Source=$Workbook$;Location=Heinemann_cell_length_width_data;Extended Properties=&quot;&quot;" command="SELECT * FROM [Heinemann_cell_length_width_data]"/>
  </connection>
  <connection id="2" xr16:uid="{5E7E7FF9-B0A7-4AD6-A07B-6E8E2F1D57CB}" keepAlive="1" name="Abfrage - Heinemann_cell_length_width_data (2)" description="Verbindung mit der Abfrage 'Heinemann_cell_length_width_data (2)' in der Arbeitsmappe." type="5" refreshedVersion="8" background="1" saveData="1">
    <dbPr connection="Provider=Microsoft.Mashup.OleDb.1;Data Source=$Workbook$;Location=&quot;Heinemann_cell_length_width_data (2)&quot;;Extended Properties=&quot;&quot;" command="SELECT * FROM [Heinemann_cell_length_width_data (2)]"/>
  </connection>
  <connection id="3" xr16:uid="{2C81CD16-299D-4DD0-B1A2-CC3DC065FEF6}" keepAlive="1" name="Query - Heinemann_cell_length_width_data (3)" description="Connection to the 'Heinemann_cell_length_width_data (3)' query in the workbook." type="5" refreshedVersion="7" background="1" saveData="1">
    <dbPr connection="Provider=Microsoft.Mashup.OleDb.1;Data Source=$Workbook$;Location=&quot;Heinemann_cell_length_width_data (3)&quot;;Extended Properties=&quot;&quot;" command="SELECT * FROM [Heinemann_cell_length_width_data (3)]"/>
  </connection>
  <connection id="4" xr16:uid="{3C43DB8C-DECA-4165-AFCA-D4B9B9ACA74E}" keepAlive="1" name="Query - Heinemann_cell_length_width_data (4)" description="Connection to the 'Heinemann_cell_length_width_data (4)' query in the workbook." type="5" refreshedVersion="7" background="1" saveData="1">
    <dbPr connection="Provider=Microsoft.Mashup.OleDb.1;Data Source=$Workbook$;Location=&quot;Heinemann_cell_length_width_data (4)&quot;;Extended Properties=&quot;&quot;" command="SELECT * FROM [Heinemann_cell_length_width_data (4)]"/>
  </connection>
</connections>
</file>

<file path=xl/sharedStrings.xml><?xml version="1.0" encoding="utf-8"?>
<sst xmlns="http://schemas.openxmlformats.org/spreadsheetml/2006/main" count="67" uniqueCount="40">
  <si>
    <t>Growth Rate</t>
  </si>
  <si>
    <t>S/V ratio (fL/um^2)</t>
  </si>
  <si>
    <t>LB</t>
  </si>
  <si>
    <t>LB_MG1655</t>
  </si>
  <si>
    <t>glucose+AA</t>
  </si>
  <si>
    <t>mannose+AA</t>
  </si>
  <si>
    <t>glycerol+AA</t>
  </si>
  <si>
    <t>acetate</t>
  </si>
  <si>
    <t>fumarate</t>
  </si>
  <si>
    <t>galactose</t>
  </si>
  <si>
    <t>glucose</t>
  </si>
  <si>
    <t>glucose_MG1655</t>
  </si>
  <si>
    <t>glucosamine</t>
  </si>
  <si>
    <t>glycerol</t>
  </si>
  <si>
    <t>pyruvate</t>
  </si>
  <si>
    <t>succinate</t>
  </si>
  <si>
    <t>anaerobic</t>
  </si>
  <si>
    <t>50_mM_NaCl</t>
  </si>
  <si>
    <t>pH_6</t>
  </si>
  <si>
    <t>42Â°C</t>
  </si>
  <si>
    <t>stationary_1_day</t>
  </si>
  <si>
    <t>stationary_3_days</t>
  </si>
  <si>
    <t>chemostat_m=0,5</t>
  </si>
  <si>
    <t>chemostat_m=0,35</t>
  </si>
  <si>
    <t>chemostat_m=0,20</t>
  </si>
  <si>
    <t>chemostat_m=0,12</t>
  </si>
  <si>
    <t xml:space="preserve">Cell Length [um] </t>
  </si>
  <si>
    <t>Cell Width [um]</t>
  </si>
  <si>
    <t>Growth condition</t>
  </si>
  <si>
    <t>Growth Rate  [1/h].1</t>
  </si>
  <si>
    <t>Cell Surface [um2]</t>
  </si>
  <si>
    <t>a [um]</t>
  </si>
  <si>
    <t>b [um]</t>
  </si>
  <si>
    <t>Inner membrane surface [um2]</t>
  </si>
  <si>
    <t>x</t>
  </si>
  <si>
    <t>Cell  length-2x [um]</t>
  </si>
  <si>
    <t>Cell width-2x [um]</t>
  </si>
  <si>
    <t>S/V [1/m]</t>
  </si>
  <si>
    <t>Cell volume [fl]</t>
  </si>
  <si>
    <t>single_cell_volume[fl]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</si>
</sst>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 wrapText="1"/>
    </xf>
    <xf numFmtId="0" fontId="4" fillId="2" borderId="1" xfId="0" applyFont="1" applyFill="1" applyBorder="1"/>
    <xf numFmtId="0" fontId="4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2" fontId="0" fillId="0" borderId="0" xfId="0" applyNumberFormat="1"/>
  </cellXfs>
  <cellStyles count="1">
    <cellStyle name="Normal" xfId="0" builtinId="0"/>
  </cellStyles>
  <dxfs count="1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/>
              <a:t>S/V</a:t>
            </a:r>
            <a:r>
              <a:rPr lang="de-DE" b="1" baseline="0"/>
              <a:t>(</a:t>
            </a:r>
            <a:r>
              <a:rPr lang="el-GR" b="1" baseline="0">
                <a:latin typeface="Grandview" panose="020B0502040204020203" pitchFamily="34" charset="0"/>
              </a:rPr>
              <a:t>μ</a:t>
            </a:r>
            <a:r>
              <a:rPr lang="de-DE" b="1" baseline="0">
                <a:latin typeface="Grandview" panose="020B0502040204020203" pitchFamily="34" charset="0"/>
              </a:rPr>
              <a:t>)</a:t>
            </a:r>
            <a:endParaRPr lang="de-D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9904002624671916"/>
                  <c:y val="-8.49897929425488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Szenk_Paper!$B$1:$F$1</c:f>
              <c:numCache>
                <c:formatCode>General</c:formatCode>
                <c:ptCount val="5"/>
                <c:pt idx="0">
                  <c:v>0.11</c:v>
                </c:pt>
                <c:pt idx="1">
                  <c:v>0.21</c:v>
                </c:pt>
                <c:pt idx="2">
                  <c:v>0.31</c:v>
                </c:pt>
                <c:pt idx="3">
                  <c:v>0.41</c:v>
                </c:pt>
                <c:pt idx="4">
                  <c:v>0.49</c:v>
                </c:pt>
              </c:numCache>
            </c:numRef>
          </c:xVal>
          <c:yVal>
            <c:numRef>
              <c:f>Szenk_Paper!$B$2:$F$2</c:f>
              <c:numCache>
                <c:formatCode>0.0</c:formatCode>
                <c:ptCount val="5"/>
                <c:pt idx="0">
                  <c:v>5.0999044258723503</c:v>
                </c:pt>
                <c:pt idx="1">
                  <c:v>4.6946999566616796</c:v>
                </c:pt>
                <c:pt idx="2">
                  <c:v>4.3504287721951096</c:v>
                </c:pt>
                <c:pt idx="3">
                  <c:v>4.05403209926871</c:v>
                </c:pt>
                <c:pt idx="4">
                  <c:v>3.7960058580676601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15-4CE4-B933-A35F1E2CB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5037103"/>
        <c:axId val="1755039503"/>
      </c:scatterChart>
      <c:valAx>
        <c:axId val="175503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>
                    <a:latin typeface="+mn-lt"/>
                  </a:rPr>
                  <a:t>Growth rate (</a:t>
                </a:r>
                <a:r>
                  <a:rPr lang="el-GR" sz="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</a:rPr>
                  <a:t>μ</a:t>
                </a:r>
                <a:r>
                  <a:rPr lang="de-DE" sz="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</a:rPr>
                  <a:t>) [1/h]</a:t>
                </a:r>
                <a:endParaRPr lang="de-DE" b="1">
                  <a:latin typeface="+mn-lt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55039503"/>
        <c:crosses val="autoZero"/>
        <c:crossBetween val="midCat"/>
      </c:valAx>
      <c:valAx>
        <c:axId val="1755039503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Surface</a:t>
                </a:r>
                <a:r>
                  <a:rPr lang="de-DE" b="1" baseline="0"/>
                  <a:t> to Volume Ratio (</a:t>
                </a:r>
                <a:r>
                  <a:rPr lang="de-DE" b="1"/>
                  <a:t>S/V) [1/m]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5503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Cell Surface (</a:t>
            </a:r>
            <a:r>
              <a:rPr lang="el-GR">
                <a:latin typeface="Grandview" panose="020B0502040204020203" pitchFamily="34" charset="0"/>
              </a:rPr>
              <a:t>μ</a:t>
            </a:r>
            <a:r>
              <a:rPr lang="de-DE">
                <a:latin typeface="Grandview" panose="020B0502040204020203" pitchFamily="34" charset="0"/>
              </a:rPr>
              <a:t>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3.7949693788276465E-2"/>
                  <c:y val="0.348703703703703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5727471566054241E-2"/>
                  <c:y val="0.330185185185185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Heinemann_paper!$B$2:$B$25</c:f>
              <c:numCache>
                <c:formatCode>General</c:formatCode>
                <c:ptCount val="24"/>
                <c:pt idx="0">
                  <c:v>1.61</c:v>
                </c:pt>
                <c:pt idx="1">
                  <c:v>1.62</c:v>
                </c:pt>
                <c:pt idx="2">
                  <c:v>1.49</c:v>
                </c:pt>
                <c:pt idx="3">
                  <c:v>1.28</c:v>
                </c:pt>
                <c:pt idx="4">
                  <c:v>1.26</c:v>
                </c:pt>
                <c:pt idx="5">
                  <c:v>0.28999999999999998</c:v>
                </c:pt>
                <c:pt idx="6">
                  <c:v>0.47</c:v>
                </c:pt>
                <c:pt idx="7">
                  <c:v>0.17</c:v>
                </c:pt>
                <c:pt idx="8">
                  <c:v>0.6</c:v>
                </c:pt>
                <c:pt idx="9">
                  <c:v>0.67</c:v>
                </c:pt>
                <c:pt idx="10">
                  <c:v>0.39</c:v>
                </c:pt>
                <c:pt idx="11">
                  <c:v>0.47</c:v>
                </c:pt>
                <c:pt idx="12">
                  <c:v>0.4</c:v>
                </c:pt>
                <c:pt idx="13">
                  <c:v>0.49</c:v>
                </c:pt>
                <c:pt idx="14">
                  <c:v>0.55000000000000004</c:v>
                </c:pt>
                <c:pt idx="15">
                  <c:v>0.65</c:v>
                </c:pt>
                <c:pt idx="16">
                  <c:v>0.5</c:v>
                </c:pt>
                <c:pt idx="17">
                  <c:v>0.65</c:v>
                </c:pt>
                <c:pt idx="18">
                  <c:v>0.5</c:v>
                </c:pt>
                <c:pt idx="19">
                  <c:v>0.35</c:v>
                </c:pt>
                <c:pt idx="20">
                  <c:v>0.2</c:v>
                </c:pt>
                <c:pt idx="21">
                  <c:v>0.12</c:v>
                </c:pt>
                <c:pt idx="22">
                  <c:v>0</c:v>
                </c:pt>
                <c:pt idx="23">
                  <c:v>0</c:v>
                </c:pt>
              </c:numCache>
            </c:numRef>
          </c:xVal>
          <c:yVal>
            <c:numRef>
              <c:f>Heinemann_paper!$G$2:$G$25</c:f>
              <c:numCache>
                <c:formatCode>General</c:formatCode>
                <c:ptCount val="24"/>
                <c:pt idx="0">
                  <c:v>15.92787475370025</c:v>
                </c:pt>
                <c:pt idx="1">
                  <c:v>15.393804002589986</c:v>
                </c:pt>
                <c:pt idx="2">
                  <c:v>16.493361431346415</c:v>
                </c:pt>
                <c:pt idx="3">
                  <c:v>17.435839227423351</c:v>
                </c:pt>
                <c:pt idx="4">
                  <c:v>16.493361431346415</c:v>
                </c:pt>
                <c:pt idx="5">
                  <c:v>8.6707957239078297</c:v>
                </c:pt>
                <c:pt idx="6">
                  <c:v>8.2938046054770549</c:v>
                </c:pt>
                <c:pt idx="7">
                  <c:v>6.9115038378975457</c:v>
                </c:pt>
                <c:pt idx="8">
                  <c:v>13.194689145077131</c:v>
                </c:pt>
                <c:pt idx="9">
                  <c:v>12.315043202071987</c:v>
                </c:pt>
                <c:pt idx="10">
                  <c:v>11.026990214100174</c:v>
                </c:pt>
                <c:pt idx="11">
                  <c:v>8.6707957239078297</c:v>
                </c:pt>
                <c:pt idx="12">
                  <c:v>6.9115038378975449</c:v>
                </c:pt>
                <c:pt idx="13">
                  <c:v>8.2938046054770549</c:v>
                </c:pt>
                <c:pt idx="14">
                  <c:v>11.435397259066846</c:v>
                </c:pt>
                <c:pt idx="15">
                  <c:v>10.618583169133501</c:v>
                </c:pt>
                <c:pt idx="16">
                  <c:v>11.843804304033519</c:v>
                </c:pt>
                <c:pt idx="17">
                  <c:v>11.026990214100174</c:v>
                </c:pt>
                <c:pt idx="18">
                  <c:v>9.4247779607693793</c:v>
                </c:pt>
                <c:pt idx="19">
                  <c:v>7.5398223686155035</c:v>
                </c:pt>
                <c:pt idx="20">
                  <c:v>6.9115038378975449</c:v>
                </c:pt>
                <c:pt idx="21">
                  <c:v>7.2570790297924237</c:v>
                </c:pt>
                <c:pt idx="22">
                  <c:v>5.5292030703180366</c:v>
                </c:pt>
                <c:pt idx="23">
                  <c:v>7.4769905155437062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AF-4808-985E-0B630ABA6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335152"/>
        <c:axId val="425342832"/>
      </c:scatterChart>
      <c:valAx>
        <c:axId val="42533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Growth</a:t>
                </a:r>
                <a:r>
                  <a:rPr lang="de-DE" baseline="0"/>
                  <a:t> Rate [</a:t>
                </a:r>
                <a:r>
                  <a:rPr lang="de-DE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Grandview" panose="020B0502040204020203" pitchFamily="34" charset="0"/>
                  </a:rPr>
                  <a:t>1/h]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25342832"/>
        <c:crosses val="autoZero"/>
        <c:crossBetween val="midCat"/>
      </c:valAx>
      <c:valAx>
        <c:axId val="42534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Cell Surface (</a:t>
                </a: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Grandview" panose="020B0502040204020203" pitchFamily="34" charset="0"/>
                  </a:rPr>
                  <a:t>μ</a:t>
                </a:r>
                <a:r>
                  <a:rPr lang="de-DE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Grandview" panose="020B0502040204020203" pitchFamily="34" charset="0"/>
                  </a:rPr>
                  <a:t>m^2]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2533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Inner</a:t>
            </a:r>
            <a:r>
              <a:rPr lang="de-DE" baseline="0"/>
              <a:t> membrane surface (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andview" panose="020B0502040204020203" pitchFamily="34" charset="0"/>
              </a:rPr>
              <a:t>μ</a:t>
            </a:r>
            <a:r>
              <a:rPr lang="de-DE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andview" panose="020B0502040204020203" pitchFamily="34" charset="0"/>
              </a:rPr>
              <a:t>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0171916010498688E-2"/>
                  <c:y val="0.272731481481481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171916010498688E-2"/>
                  <c:y val="0.281990740740740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Heinemann_paper!$B$2:$B$25</c:f>
              <c:numCache>
                <c:formatCode>General</c:formatCode>
                <c:ptCount val="24"/>
                <c:pt idx="0">
                  <c:v>1.61</c:v>
                </c:pt>
                <c:pt idx="1">
                  <c:v>1.62</c:v>
                </c:pt>
                <c:pt idx="2">
                  <c:v>1.49</c:v>
                </c:pt>
                <c:pt idx="3">
                  <c:v>1.28</c:v>
                </c:pt>
                <c:pt idx="4">
                  <c:v>1.26</c:v>
                </c:pt>
                <c:pt idx="5">
                  <c:v>0.28999999999999998</c:v>
                </c:pt>
                <c:pt idx="6">
                  <c:v>0.47</c:v>
                </c:pt>
                <c:pt idx="7">
                  <c:v>0.17</c:v>
                </c:pt>
                <c:pt idx="8">
                  <c:v>0.6</c:v>
                </c:pt>
                <c:pt idx="9">
                  <c:v>0.67</c:v>
                </c:pt>
                <c:pt idx="10">
                  <c:v>0.39</c:v>
                </c:pt>
                <c:pt idx="11">
                  <c:v>0.47</c:v>
                </c:pt>
                <c:pt idx="12">
                  <c:v>0.4</c:v>
                </c:pt>
                <c:pt idx="13">
                  <c:v>0.49</c:v>
                </c:pt>
                <c:pt idx="14">
                  <c:v>0.55000000000000004</c:v>
                </c:pt>
                <c:pt idx="15">
                  <c:v>0.65</c:v>
                </c:pt>
                <c:pt idx="16">
                  <c:v>0.5</c:v>
                </c:pt>
                <c:pt idx="17">
                  <c:v>0.65</c:v>
                </c:pt>
                <c:pt idx="18">
                  <c:v>0.5</c:v>
                </c:pt>
                <c:pt idx="19">
                  <c:v>0.35</c:v>
                </c:pt>
                <c:pt idx="20">
                  <c:v>0.2</c:v>
                </c:pt>
                <c:pt idx="21">
                  <c:v>0.12</c:v>
                </c:pt>
                <c:pt idx="22">
                  <c:v>0</c:v>
                </c:pt>
                <c:pt idx="23">
                  <c:v>0</c:v>
                </c:pt>
              </c:numCache>
            </c:numRef>
          </c:xVal>
          <c:yVal>
            <c:numRef>
              <c:f>Heinemann_paper!$J$2:$J$25</c:f>
              <c:numCache>
                <c:formatCode>General</c:formatCode>
                <c:ptCount val="24"/>
                <c:pt idx="0">
                  <c:v>12.44070690821558</c:v>
                </c:pt>
                <c:pt idx="1">
                  <c:v>12.88052987971815</c:v>
                </c:pt>
                <c:pt idx="2">
                  <c:v>14.514158059584847</c:v>
                </c:pt>
                <c:pt idx="3">
                  <c:v>15.205308443374602</c:v>
                </c:pt>
                <c:pt idx="4">
                  <c:v>14.514158059584847</c:v>
                </c:pt>
                <c:pt idx="5">
                  <c:v>6.7858401317539521</c:v>
                </c:pt>
                <c:pt idx="6">
                  <c:v>5.9376101152847092</c:v>
                </c:pt>
                <c:pt idx="7">
                  <c:v>5.0579641722795676</c:v>
                </c:pt>
                <c:pt idx="8">
                  <c:v>11.309733552923255</c:v>
                </c:pt>
                <c:pt idx="9">
                  <c:v>10.681415022205293</c:v>
                </c:pt>
                <c:pt idx="10">
                  <c:v>9.0477868423386045</c:v>
                </c:pt>
                <c:pt idx="11">
                  <c:v>6.7858401317539521</c:v>
                </c:pt>
                <c:pt idx="12">
                  <c:v>4.5238934211693023</c:v>
                </c:pt>
                <c:pt idx="13">
                  <c:v>5.9376101152847092</c:v>
                </c:pt>
                <c:pt idx="14">
                  <c:v>9.3305301811616861</c:v>
                </c:pt>
                <c:pt idx="15">
                  <c:v>8.765043503515523</c:v>
                </c:pt>
                <c:pt idx="16">
                  <c:v>9.6132735199847676</c:v>
                </c:pt>
                <c:pt idx="17">
                  <c:v>9.0477868423386045</c:v>
                </c:pt>
                <c:pt idx="18">
                  <c:v>7.2884949563283197</c:v>
                </c:pt>
                <c:pt idx="19">
                  <c:v>4.9008845396000771</c:v>
                </c:pt>
                <c:pt idx="20">
                  <c:v>4.5238934211693023</c:v>
                </c:pt>
                <c:pt idx="21">
                  <c:v>5.2778756580308528</c:v>
                </c:pt>
                <c:pt idx="22">
                  <c:v>4.1783182292744252</c:v>
                </c:pt>
                <c:pt idx="23">
                  <c:v>7.2256631032565224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A2-4699-B111-42483476F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31008"/>
        <c:axId val="195750480"/>
      </c:scatterChart>
      <c:valAx>
        <c:axId val="19543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Growth rate [1/h]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5750480"/>
        <c:crosses val="autoZero"/>
        <c:crossBetween val="midCat"/>
      </c:valAx>
      <c:valAx>
        <c:axId val="19575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Inner</a:t>
                </a:r>
                <a:r>
                  <a:rPr lang="de-DE" baseline="0"/>
                  <a:t> membrane surface [</a:t>
                </a:r>
                <a:r>
                  <a:rPr lang="el-GR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Grandview" panose="020B0502040204020203" pitchFamily="34" charset="0"/>
                  </a:rPr>
                  <a:t>μ</a:t>
                </a:r>
                <a:r>
                  <a:rPr lang="de-DE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Grandview" panose="020B0502040204020203" pitchFamily="34" charset="0"/>
                  </a:rPr>
                  <a:t>m^2]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543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Cell volume (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andview" panose="020B0502040204020203" pitchFamily="34" charset="0"/>
              </a:rPr>
              <a:t>μ</a:t>
            </a:r>
            <a:r>
              <a:rPr lang="de-DE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randview" panose="020B0502040204020203" pitchFamily="34" charset="0"/>
              </a:rPr>
              <a:t>)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3689851268591425E-2"/>
                  <c:y val="0.345888743073782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5.9800962379702539E-2"/>
                  <c:y val="0.345888743073782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Heinemann_paper!$B$2:$B$25</c:f>
              <c:numCache>
                <c:formatCode>General</c:formatCode>
                <c:ptCount val="24"/>
                <c:pt idx="0">
                  <c:v>1.61</c:v>
                </c:pt>
                <c:pt idx="1">
                  <c:v>1.62</c:v>
                </c:pt>
                <c:pt idx="2">
                  <c:v>1.49</c:v>
                </c:pt>
                <c:pt idx="3">
                  <c:v>1.28</c:v>
                </c:pt>
                <c:pt idx="4">
                  <c:v>1.26</c:v>
                </c:pt>
                <c:pt idx="5">
                  <c:v>0.28999999999999998</c:v>
                </c:pt>
                <c:pt idx="6">
                  <c:v>0.47</c:v>
                </c:pt>
                <c:pt idx="7">
                  <c:v>0.17</c:v>
                </c:pt>
                <c:pt idx="8">
                  <c:v>0.6</c:v>
                </c:pt>
                <c:pt idx="9">
                  <c:v>0.67</c:v>
                </c:pt>
                <c:pt idx="10">
                  <c:v>0.39</c:v>
                </c:pt>
                <c:pt idx="11">
                  <c:v>0.47</c:v>
                </c:pt>
                <c:pt idx="12">
                  <c:v>0.4</c:v>
                </c:pt>
                <c:pt idx="13">
                  <c:v>0.49</c:v>
                </c:pt>
                <c:pt idx="14">
                  <c:v>0.55000000000000004</c:v>
                </c:pt>
                <c:pt idx="15">
                  <c:v>0.65</c:v>
                </c:pt>
                <c:pt idx="16">
                  <c:v>0.5</c:v>
                </c:pt>
                <c:pt idx="17">
                  <c:v>0.65</c:v>
                </c:pt>
                <c:pt idx="18">
                  <c:v>0.5</c:v>
                </c:pt>
                <c:pt idx="19">
                  <c:v>0.35</c:v>
                </c:pt>
                <c:pt idx="20">
                  <c:v>0.2</c:v>
                </c:pt>
                <c:pt idx="21">
                  <c:v>0.12</c:v>
                </c:pt>
                <c:pt idx="22">
                  <c:v>0</c:v>
                </c:pt>
                <c:pt idx="23">
                  <c:v>0</c:v>
                </c:pt>
              </c:numCache>
            </c:numRef>
          </c:xVal>
          <c:yVal>
            <c:numRef>
              <c:f>Heinemann_paper!$K$2:$K$25</c:f>
              <c:numCache>
                <c:formatCode>General</c:formatCode>
                <c:ptCount val="24"/>
                <c:pt idx="0">
                  <c:v>4.6013860399578501</c:v>
                </c:pt>
                <c:pt idx="1">
                  <c:v>4.6694538807856283</c:v>
                </c:pt>
                <c:pt idx="2">
                  <c:v>5.3014376029327757</c:v>
                </c:pt>
                <c:pt idx="3">
                  <c:v>5.6548667764616276</c:v>
                </c:pt>
                <c:pt idx="4">
                  <c:v>5.3014376029327757</c:v>
                </c:pt>
                <c:pt idx="5">
                  <c:v>2.1488493750554185</c:v>
                </c:pt>
                <c:pt idx="6">
                  <c:v>1.9323412813455221</c:v>
                </c:pt>
                <c:pt idx="7">
                  <c:v>1.5522085702611572</c:v>
                </c:pt>
                <c:pt idx="8">
                  <c:v>3.8997636806561289</c:v>
                </c:pt>
                <c:pt idx="9">
                  <c:v>3.5918876006043297</c:v>
                </c:pt>
                <c:pt idx="10">
                  <c:v>3.0085985645878255</c:v>
                </c:pt>
                <c:pt idx="11">
                  <c:v>2.1488493750554185</c:v>
                </c:pt>
                <c:pt idx="12">
                  <c:v>1.4660765716752369</c:v>
                </c:pt>
                <c:pt idx="13">
                  <c:v>1.9323412813455221</c:v>
                </c:pt>
                <c:pt idx="14">
                  <c:v>3.141330854201994</c:v>
                </c:pt>
                <c:pt idx="15">
                  <c:v>2.8758662749736565</c:v>
                </c:pt>
                <c:pt idx="16">
                  <c:v>3.2740631438161625</c:v>
                </c:pt>
                <c:pt idx="17">
                  <c:v>3.0085985645878255</c:v>
                </c:pt>
                <c:pt idx="18">
                  <c:v>2.3750440461138838</c:v>
                </c:pt>
                <c:pt idx="19">
                  <c:v>1.6231562043547263</c:v>
                </c:pt>
                <c:pt idx="20">
                  <c:v>1.4660765716752369</c:v>
                </c:pt>
                <c:pt idx="21">
                  <c:v>1.6472417480322485</c:v>
                </c:pt>
                <c:pt idx="22">
                  <c:v>1.1720758591767924</c:v>
                </c:pt>
                <c:pt idx="23">
                  <c:v>1.8985691603194312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BB-409B-A608-267E77289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38960"/>
        <c:axId val="195740880"/>
      </c:scatterChart>
      <c:valAx>
        <c:axId val="1957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5740880"/>
        <c:crosses val="autoZero"/>
        <c:crossBetween val="midCat"/>
      </c:valAx>
      <c:valAx>
        <c:axId val="19574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5738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S/V (µ)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1614829396325458E-2"/>
                  <c:y val="0.177434747739865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Heinemann_paper!$B$2:$B$23</c:f>
              <c:numCache>
                <c:formatCode>General</c:formatCode>
                <c:ptCount val="22"/>
                <c:pt idx="0">
                  <c:v>1.61</c:v>
                </c:pt>
                <c:pt idx="1">
                  <c:v>1.62</c:v>
                </c:pt>
                <c:pt idx="2">
                  <c:v>1.49</c:v>
                </c:pt>
                <c:pt idx="3">
                  <c:v>1.28</c:v>
                </c:pt>
                <c:pt idx="4">
                  <c:v>1.26</c:v>
                </c:pt>
                <c:pt idx="5">
                  <c:v>0.28999999999999998</c:v>
                </c:pt>
                <c:pt idx="6">
                  <c:v>0.47</c:v>
                </c:pt>
                <c:pt idx="7">
                  <c:v>0.17</c:v>
                </c:pt>
                <c:pt idx="8">
                  <c:v>0.6</c:v>
                </c:pt>
                <c:pt idx="9">
                  <c:v>0.67</c:v>
                </c:pt>
                <c:pt idx="10">
                  <c:v>0.39</c:v>
                </c:pt>
                <c:pt idx="11">
                  <c:v>0.47</c:v>
                </c:pt>
                <c:pt idx="12">
                  <c:v>0.4</c:v>
                </c:pt>
                <c:pt idx="13">
                  <c:v>0.49</c:v>
                </c:pt>
                <c:pt idx="14">
                  <c:v>0.55000000000000004</c:v>
                </c:pt>
                <c:pt idx="15">
                  <c:v>0.65</c:v>
                </c:pt>
                <c:pt idx="16">
                  <c:v>0.5</c:v>
                </c:pt>
                <c:pt idx="17">
                  <c:v>0.65</c:v>
                </c:pt>
                <c:pt idx="18">
                  <c:v>0.5</c:v>
                </c:pt>
                <c:pt idx="19">
                  <c:v>0.35</c:v>
                </c:pt>
                <c:pt idx="20">
                  <c:v>0.2</c:v>
                </c:pt>
                <c:pt idx="21">
                  <c:v>0.12</c:v>
                </c:pt>
              </c:numCache>
            </c:numRef>
          </c:xVal>
          <c:yVal>
            <c:numRef>
              <c:f>Heinemann_paper!$M$2:$M$23</c:f>
              <c:numCache>
                <c:formatCode>0.00</c:formatCode>
                <c:ptCount val="22"/>
                <c:pt idx="0">
                  <c:v>2.7036868456986798</c:v>
                </c:pt>
                <c:pt idx="1">
                  <c:v>2.7584660237721463</c:v>
                </c:pt>
                <c:pt idx="2">
                  <c:v>2.7377777777777785</c:v>
                </c:pt>
                <c:pt idx="3">
                  <c:v>2.6888888888888896</c:v>
                </c:pt>
                <c:pt idx="4">
                  <c:v>2.7377777777777785</c:v>
                </c:pt>
                <c:pt idx="5">
                  <c:v>3.1578947368421049</c:v>
                </c:pt>
                <c:pt idx="6">
                  <c:v>3.0727543693266495</c:v>
                </c:pt>
                <c:pt idx="7">
                  <c:v>3.2585596221959858</c:v>
                </c:pt>
                <c:pt idx="8">
                  <c:v>2.9001074113856076</c:v>
                </c:pt>
                <c:pt idx="9">
                  <c:v>2.973760932944606</c:v>
                </c:pt>
                <c:pt idx="10">
                  <c:v>3.0073094326487988</c:v>
                </c:pt>
                <c:pt idx="11">
                  <c:v>3.1578947368421049</c:v>
                </c:pt>
                <c:pt idx="12">
                  <c:v>3.0857142857142859</c:v>
                </c:pt>
                <c:pt idx="13">
                  <c:v>3.0727543693266495</c:v>
                </c:pt>
                <c:pt idx="14">
                  <c:v>2.9702475206267192</c:v>
                </c:pt>
                <c:pt idx="15">
                  <c:v>3.0477924442421482</c:v>
                </c:pt>
                <c:pt idx="16">
                  <c:v>2.9361906284983212</c:v>
                </c:pt>
                <c:pt idx="17">
                  <c:v>3.0073094326487988</c:v>
                </c:pt>
                <c:pt idx="18">
                  <c:v>3.0687830687830684</c:v>
                </c:pt>
                <c:pt idx="19">
                  <c:v>3.0193548387096776</c:v>
                </c:pt>
                <c:pt idx="20">
                  <c:v>3.0857142857142859</c:v>
                </c:pt>
                <c:pt idx="21">
                  <c:v>3.2040686586141125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FE-4CB5-8D88-1353AB90F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183584"/>
        <c:axId val="574184416"/>
      </c:scatterChart>
      <c:valAx>
        <c:axId val="57418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 rate [1/h]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74184416"/>
        <c:crosses val="autoZero"/>
        <c:crossBetween val="midCat"/>
      </c:valAx>
      <c:valAx>
        <c:axId val="57418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S/V [1/m]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7418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Heinemann_paper!$B$2:$B$25</c:f>
              <c:numCache>
                <c:formatCode>General</c:formatCode>
                <c:ptCount val="24"/>
                <c:pt idx="0">
                  <c:v>1.61</c:v>
                </c:pt>
                <c:pt idx="1">
                  <c:v>1.62</c:v>
                </c:pt>
                <c:pt idx="2">
                  <c:v>1.49</c:v>
                </c:pt>
                <c:pt idx="3">
                  <c:v>1.28</c:v>
                </c:pt>
                <c:pt idx="4">
                  <c:v>1.26</c:v>
                </c:pt>
                <c:pt idx="5">
                  <c:v>0.28999999999999998</c:v>
                </c:pt>
                <c:pt idx="6">
                  <c:v>0.47</c:v>
                </c:pt>
                <c:pt idx="7">
                  <c:v>0.17</c:v>
                </c:pt>
                <c:pt idx="8">
                  <c:v>0.6</c:v>
                </c:pt>
                <c:pt idx="9">
                  <c:v>0.67</c:v>
                </c:pt>
                <c:pt idx="10">
                  <c:v>0.39</c:v>
                </c:pt>
                <c:pt idx="11">
                  <c:v>0.47</c:v>
                </c:pt>
                <c:pt idx="12">
                  <c:v>0.4</c:v>
                </c:pt>
                <c:pt idx="13">
                  <c:v>0.49</c:v>
                </c:pt>
                <c:pt idx="14">
                  <c:v>0.55000000000000004</c:v>
                </c:pt>
                <c:pt idx="15">
                  <c:v>0.65</c:v>
                </c:pt>
                <c:pt idx="16">
                  <c:v>0.5</c:v>
                </c:pt>
                <c:pt idx="17">
                  <c:v>0.65</c:v>
                </c:pt>
                <c:pt idx="18">
                  <c:v>0.5</c:v>
                </c:pt>
                <c:pt idx="19">
                  <c:v>0.35</c:v>
                </c:pt>
                <c:pt idx="20">
                  <c:v>0.2</c:v>
                </c:pt>
                <c:pt idx="21">
                  <c:v>0.12</c:v>
                </c:pt>
                <c:pt idx="22">
                  <c:v>0</c:v>
                </c:pt>
                <c:pt idx="23">
                  <c:v>0</c:v>
                </c:pt>
              </c:numCache>
            </c:numRef>
          </c:xVal>
          <c:yVal>
            <c:numRef>
              <c:f>Heinemann_paper!$L$2:$L$25</c:f>
              <c:numCache>
                <c:formatCode>0.00</c:formatCode>
                <c:ptCount val="24"/>
                <c:pt idx="0">
                  <c:v>4.4000000000000004</c:v>
                </c:pt>
                <c:pt idx="1">
                  <c:v>3.9</c:v>
                </c:pt>
                <c:pt idx="2">
                  <c:v>4</c:v>
                </c:pt>
                <c:pt idx="3">
                  <c:v>4.0999999999999996</c:v>
                </c:pt>
                <c:pt idx="4">
                  <c:v>3.9</c:v>
                </c:pt>
                <c:pt idx="5">
                  <c:v>2.4</c:v>
                </c:pt>
                <c:pt idx="6">
                  <c:v>2.4</c:v>
                </c:pt>
                <c:pt idx="7">
                  <c:v>1.9</c:v>
                </c:pt>
                <c:pt idx="8">
                  <c:v>3.2</c:v>
                </c:pt>
                <c:pt idx="9">
                  <c:v>3</c:v>
                </c:pt>
                <c:pt idx="10">
                  <c:v>2.9</c:v>
                </c:pt>
                <c:pt idx="11">
                  <c:v>2.2999999999999998</c:v>
                </c:pt>
                <c:pt idx="12">
                  <c:v>2.1</c:v>
                </c:pt>
                <c:pt idx="13">
                  <c:v>2.4</c:v>
                </c:pt>
                <c:pt idx="14">
                  <c:v>2.9</c:v>
                </c:pt>
                <c:pt idx="15">
                  <c:v>2.8</c:v>
                </c:pt>
                <c:pt idx="16">
                  <c:v>3.1</c:v>
                </c:pt>
                <c:pt idx="17">
                  <c:v>2.8</c:v>
                </c:pt>
                <c:pt idx="18">
                  <c:v>2.6</c:v>
                </c:pt>
                <c:pt idx="19">
                  <c:v>2.4</c:v>
                </c:pt>
                <c:pt idx="20">
                  <c:v>2.2000000000000002</c:v>
                </c:pt>
                <c:pt idx="21">
                  <c:v>2.1</c:v>
                </c:pt>
                <c:pt idx="22">
                  <c:v>1.5</c:v>
                </c:pt>
                <c:pt idx="23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42-40AB-B395-BAC1BDD51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771936"/>
        <c:axId val="1474755712"/>
      </c:scatterChart>
      <c:valAx>
        <c:axId val="147477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74755712"/>
        <c:crosses val="autoZero"/>
        <c:crossBetween val="midCat"/>
      </c:valAx>
      <c:valAx>
        <c:axId val="147475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47477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1</xdr:row>
      <xdr:rowOff>376237</xdr:rowOff>
    </xdr:from>
    <xdr:to>
      <xdr:col>12</xdr:col>
      <xdr:colOff>114300</xdr:colOff>
      <xdr:row>14</xdr:row>
      <xdr:rowOff>33337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565F38B-B3FE-C59B-7884-D5AEA1A15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610720</xdr:colOff>
      <xdr:row>28</xdr:row>
      <xdr:rowOff>1120</xdr:rowOff>
    </xdr:from>
    <xdr:to>
      <xdr:col>5</xdr:col>
      <xdr:colOff>84044</xdr:colOff>
      <xdr:row>42</xdr:row>
      <xdr:rowOff>77320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50DD32DD-F4A5-E43C-BDCA-C81081E26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280148</xdr:colOff>
      <xdr:row>28</xdr:row>
      <xdr:rowOff>169208</xdr:rowOff>
    </xdr:from>
    <xdr:to>
      <xdr:col>9</xdr:col>
      <xdr:colOff>862854</xdr:colOff>
      <xdr:row>43</xdr:row>
      <xdr:rowOff>54908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06022A13-0BE5-BBFE-F882-C52E90382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453837</xdr:colOff>
      <xdr:row>44</xdr:row>
      <xdr:rowOff>34738</xdr:rowOff>
    </xdr:from>
    <xdr:to>
      <xdr:col>7</xdr:col>
      <xdr:colOff>756396</xdr:colOff>
      <xdr:row>58</xdr:row>
      <xdr:rowOff>110938</xdr:rowOff>
    </xdr:to>
    <xdr:graphicFrame macro="">
      <xdr:nvGraphicFramePr>
        <xdr:cNvPr id="19" name="Diagramm 18">
          <a:extLst>
            <a:ext uri="{FF2B5EF4-FFF2-40B4-BE49-F238E27FC236}">
              <a16:creationId xmlns:a16="http://schemas.microsoft.com/office/drawing/2014/main" id="{E4640FE1-9588-276A-505B-FF774971A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1148603</xdr:colOff>
      <xdr:row>28</xdr:row>
      <xdr:rowOff>79561</xdr:rowOff>
    </xdr:from>
    <xdr:to>
      <xdr:col>14</xdr:col>
      <xdr:colOff>498662</xdr:colOff>
      <xdr:row>42</xdr:row>
      <xdr:rowOff>155761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AB707D-9E40-4045-9581-739200B7F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1154206</xdr:colOff>
      <xdr:row>43</xdr:row>
      <xdr:rowOff>180414</xdr:rowOff>
    </xdr:from>
    <xdr:to>
      <xdr:col>11</xdr:col>
      <xdr:colOff>963706</xdr:colOff>
      <xdr:row>58</xdr:row>
      <xdr:rowOff>66114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DBC678-BE18-494A-AB40-353F976CD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</xdr:rowOff>
    </xdr:from>
    <xdr:to>
      <xdr:col>5</xdr:col>
      <xdr:colOff>342900</xdr:colOff>
      <xdr:row>11</xdr:row>
      <xdr:rowOff>13505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CDA0E80E-3F6D-48AC-A200-C2245B89E95A}"/>
            </a:ext>
          </a:extLst>
        </xdr:cNvPr>
        <xdr:cNvGrpSpPr/>
      </xdr:nvGrpSpPr>
      <xdr:grpSpPr>
        <a:xfrm>
          <a:off x="0" y="581025"/>
          <a:ext cx="4152900" cy="1527980"/>
          <a:chOff x="6810375" y="866775"/>
          <a:chExt cx="4838700" cy="1527980"/>
        </a:xfrm>
      </xdr:grpSpPr>
      <xdr:sp macro="" textlink="">
        <xdr:nvSpPr>
          <xdr:cNvPr id="3" name="Ellipse 2">
            <a:extLst>
              <a:ext uri="{FF2B5EF4-FFF2-40B4-BE49-F238E27FC236}">
                <a16:creationId xmlns:a16="http://schemas.microsoft.com/office/drawing/2014/main" id="{46E94D2A-CE9C-353A-C610-89E25154D4FE}"/>
              </a:ext>
            </a:extLst>
          </xdr:cNvPr>
          <xdr:cNvSpPr/>
        </xdr:nvSpPr>
        <xdr:spPr>
          <a:xfrm>
            <a:off x="7143750" y="866775"/>
            <a:ext cx="4505325" cy="1066800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200"/>
          </a:p>
        </xdr:txBody>
      </xdr:sp>
      <xdr:cxnSp macro="">
        <xdr:nvCxnSpPr>
          <xdr:cNvPr id="4" name="Gerader Verbinder 3">
            <a:extLst>
              <a:ext uri="{FF2B5EF4-FFF2-40B4-BE49-F238E27FC236}">
                <a16:creationId xmlns:a16="http://schemas.microsoft.com/office/drawing/2014/main" id="{1C9056C0-476F-7E08-612E-38D8CCF333BB}"/>
              </a:ext>
            </a:extLst>
          </xdr:cNvPr>
          <xdr:cNvCxnSpPr/>
        </xdr:nvCxnSpPr>
        <xdr:spPr>
          <a:xfrm>
            <a:off x="7724775" y="2095500"/>
            <a:ext cx="2958780" cy="2857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" name="Gerader Verbinder 4">
            <a:extLst>
              <a:ext uri="{FF2B5EF4-FFF2-40B4-BE49-F238E27FC236}">
                <a16:creationId xmlns:a16="http://schemas.microsoft.com/office/drawing/2014/main" id="{AF5021F5-48A1-D27F-96AD-481C98217459}"/>
              </a:ext>
            </a:extLst>
          </xdr:cNvPr>
          <xdr:cNvCxnSpPr/>
        </xdr:nvCxnSpPr>
        <xdr:spPr>
          <a:xfrm>
            <a:off x="7048500" y="904875"/>
            <a:ext cx="0" cy="96202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6" name="Textfeld 5">
            <a:extLst>
              <a:ext uri="{FF2B5EF4-FFF2-40B4-BE49-F238E27FC236}">
                <a16:creationId xmlns:a16="http://schemas.microsoft.com/office/drawing/2014/main" id="{72808927-C2E9-3248-92E9-2DBCB415E73C}"/>
              </a:ext>
            </a:extLst>
          </xdr:cNvPr>
          <xdr:cNvSpPr txBox="1"/>
        </xdr:nvSpPr>
        <xdr:spPr>
          <a:xfrm>
            <a:off x="6810375" y="1219200"/>
            <a:ext cx="301076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DE" sz="1200"/>
              <a:t>a</a:t>
            </a:r>
          </a:p>
        </xdr:txBody>
      </xdr:sp>
      <xdr:sp macro="" textlink="">
        <xdr:nvSpPr>
          <xdr:cNvPr id="7" name="Textfeld 6">
            <a:extLst>
              <a:ext uri="{FF2B5EF4-FFF2-40B4-BE49-F238E27FC236}">
                <a16:creationId xmlns:a16="http://schemas.microsoft.com/office/drawing/2014/main" id="{BDB7BFB6-E0B4-1FEE-3E3D-90CEB28300EB}"/>
              </a:ext>
            </a:extLst>
          </xdr:cNvPr>
          <xdr:cNvSpPr txBox="1"/>
        </xdr:nvSpPr>
        <xdr:spPr>
          <a:xfrm>
            <a:off x="9258300" y="2114550"/>
            <a:ext cx="30937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de-DE" sz="1200"/>
              <a:t>b</a:t>
            </a:r>
          </a:p>
        </xdr:txBody>
      </xdr:sp>
    </xdr:grpSp>
    <xdr:clientData/>
  </xdr:twoCellAnchor>
  <xdr:twoCellAnchor>
    <xdr:from>
      <xdr:col>1</xdr:col>
      <xdr:colOff>66675</xdr:colOff>
      <xdr:row>3</xdr:row>
      <xdr:rowOff>76200</xdr:rowOff>
    </xdr:from>
    <xdr:to>
      <xdr:col>1</xdr:col>
      <xdr:colOff>228600</xdr:colOff>
      <xdr:row>8</xdr:row>
      <xdr:rowOff>9525</xdr:rowOff>
    </xdr:to>
    <xdr:sp macro="" textlink="">
      <xdr:nvSpPr>
        <xdr:cNvPr id="11" name="Freihandform: Form 10">
          <a:extLst>
            <a:ext uri="{FF2B5EF4-FFF2-40B4-BE49-F238E27FC236}">
              <a16:creationId xmlns:a16="http://schemas.microsoft.com/office/drawing/2014/main" id="{6C788F64-8BB8-2E29-CACE-86E6E3978374}"/>
            </a:ext>
          </a:extLst>
        </xdr:cNvPr>
        <xdr:cNvSpPr/>
      </xdr:nvSpPr>
      <xdr:spPr>
        <a:xfrm>
          <a:off x="828675" y="647700"/>
          <a:ext cx="161925" cy="885825"/>
        </a:xfrm>
        <a:custGeom>
          <a:avLst/>
          <a:gdLst>
            <a:gd name="connsiteX0" fmla="*/ 0 w 161925"/>
            <a:gd name="connsiteY0" fmla="*/ 0 h 885825"/>
            <a:gd name="connsiteX1" fmla="*/ 57150 w 161925"/>
            <a:gd name="connsiteY1" fmla="*/ 95250 h 885825"/>
            <a:gd name="connsiteX2" fmla="*/ 95250 w 161925"/>
            <a:gd name="connsiteY2" fmla="*/ 161925 h 885825"/>
            <a:gd name="connsiteX3" fmla="*/ 142875 w 161925"/>
            <a:gd name="connsiteY3" fmla="*/ 276225 h 885825"/>
            <a:gd name="connsiteX4" fmla="*/ 161925 w 161925"/>
            <a:gd name="connsiteY4" fmla="*/ 304800 h 885825"/>
            <a:gd name="connsiteX5" fmla="*/ 152400 w 161925"/>
            <a:gd name="connsiteY5" fmla="*/ 590550 h 885825"/>
            <a:gd name="connsiteX6" fmla="*/ 133350 w 161925"/>
            <a:gd name="connsiteY6" fmla="*/ 647700 h 885825"/>
            <a:gd name="connsiteX7" fmla="*/ 114300 w 161925"/>
            <a:gd name="connsiteY7" fmla="*/ 723900 h 885825"/>
            <a:gd name="connsiteX8" fmla="*/ 104775 w 161925"/>
            <a:gd name="connsiteY8" fmla="*/ 771525 h 885825"/>
            <a:gd name="connsiteX9" fmla="*/ 66675 w 161925"/>
            <a:gd name="connsiteY9" fmla="*/ 866775 h 885825"/>
            <a:gd name="connsiteX10" fmla="*/ 47625 w 161925"/>
            <a:gd name="connsiteY10" fmla="*/ 885825 h 8858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161925" h="885825">
              <a:moveTo>
                <a:pt x="0" y="0"/>
              </a:moveTo>
              <a:cubicBezTo>
                <a:pt x="19050" y="31750"/>
                <a:pt x="38377" y="63336"/>
                <a:pt x="57150" y="95250"/>
              </a:cubicBezTo>
              <a:cubicBezTo>
                <a:pt x="70129" y="117314"/>
                <a:pt x="86262" y="137957"/>
                <a:pt x="95250" y="161925"/>
              </a:cubicBezTo>
              <a:cubicBezTo>
                <a:pt x="112564" y="208095"/>
                <a:pt x="120197" y="236539"/>
                <a:pt x="142875" y="276225"/>
              </a:cubicBezTo>
              <a:cubicBezTo>
                <a:pt x="148555" y="286164"/>
                <a:pt x="155575" y="295275"/>
                <a:pt x="161925" y="304800"/>
              </a:cubicBezTo>
              <a:cubicBezTo>
                <a:pt x="158750" y="400050"/>
                <a:pt x="160314" y="495576"/>
                <a:pt x="152400" y="590550"/>
              </a:cubicBezTo>
              <a:cubicBezTo>
                <a:pt x="150732" y="610561"/>
                <a:pt x="138867" y="628392"/>
                <a:pt x="133350" y="647700"/>
              </a:cubicBezTo>
              <a:cubicBezTo>
                <a:pt x="126157" y="672874"/>
                <a:pt x="120187" y="698389"/>
                <a:pt x="114300" y="723900"/>
              </a:cubicBezTo>
              <a:cubicBezTo>
                <a:pt x="110660" y="739675"/>
                <a:pt x="109035" y="755906"/>
                <a:pt x="104775" y="771525"/>
              </a:cubicBezTo>
              <a:cubicBezTo>
                <a:pt x="97626" y="797739"/>
                <a:pt x="83115" y="842115"/>
                <a:pt x="66675" y="866775"/>
              </a:cubicBezTo>
              <a:cubicBezTo>
                <a:pt x="61694" y="874247"/>
                <a:pt x="53975" y="879475"/>
                <a:pt x="47625" y="885825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</xdr:col>
      <xdr:colOff>171450</xdr:colOff>
      <xdr:row>3</xdr:row>
      <xdr:rowOff>114300</xdr:rowOff>
    </xdr:from>
    <xdr:to>
      <xdr:col>4</xdr:col>
      <xdr:colOff>333375</xdr:colOff>
      <xdr:row>8</xdr:row>
      <xdr:rowOff>47625</xdr:rowOff>
    </xdr:to>
    <xdr:sp macro="" textlink="">
      <xdr:nvSpPr>
        <xdr:cNvPr id="12" name="Freihandform: Form 11">
          <a:extLst>
            <a:ext uri="{FF2B5EF4-FFF2-40B4-BE49-F238E27FC236}">
              <a16:creationId xmlns:a16="http://schemas.microsoft.com/office/drawing/2014/main" id="{345C0DB7-A4E3-457A-9115-0EEE18B01667}"/>
            </a:ext>
          </a:extLst>
        </xdr:cNvPr>
        <xdr:cNvSpPr/>
      </xdr:nvSpPr>
      <xdr:spPr>
        <a:xfrm>
          <a:off x="3219450" y="685800"/>
          <a:ext cx="161925" cy="885825"/>
        </a:xfrm>
        <a:custGeom>
          <a:avLst/>
          <a:gdLst>
            <a:gd name="connsiteX0" fmla="*/ 0 w 161925"/>
            <a:gd name="connsiteY0" fmla="*/ 0 h 885825"/>
            <a:gd name="connsiteX1" fmla="*/ 57150 w 161925"/>
            <a:gd name="connsiteY1" fmla="*/ 95250 h 885825"/>
            <a:gd name="connsiteX2" fmla="*/ 95250 w 161925"/>
            <a:gd name="connsiteY2" fmla="*/ 161925 h 885825"/>
            <a:gd name="connsiteX3" fmla="*/ 142875 w 161925"/>
            <a:gd name="connsiteY3" fmla="*/ 276225 h 885825"/>
            <a:gd name="connsiteX4" fmla="*/ 161925 w 161925"/>
            <a:gd name="connsiteY4" fmla="*/ 304800 h 885825"/>
            <a:gd name="connsiteX5" fmla="*/ 152400 w 161925"/>
            <a:gd name="connsiteY5" fmla="*/ 590550 h 885825"/>
            <a:gd name="connsiteX6" fmla="*/ 133350 w 161925"/>
            <a:gd name="connsiteY6" fmla="*/ 647700 h 885825"/>
            <a:gd name="connsiteX7" fmla="*/ 114300 w 161925"/>
            <a:gd name="connsiteY7" fmla="*/ 723900 h 885825"/>
            <a:gd name="connsiteX8" fmla="*/ 104775 w 161925"/>
            <a:gd name="connsiteY8" fmla="*/ 771525 h 885825"/>
            <a:gd name="connsiteX9" fmla="*/ 66675 w 161925"/>
            <a:gd name="connsiteY9" fmla="*/ 866775 h 885825"/>
            <a:gd name="connsiteX10" fmla="*/ 47625 w 161925"/>
            <a:gd name="connsiteY10" fmla="*/ 885825 h 8858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161925" h="885825">
              <a:moveTo>
                <a:pt x="0" y="0"/>
              </a:moveTo>
              <a:cubicBezTo>
                <a:pt x="19050" y="31750"/>
                <a:pt x="38377" y="63336"/>
                <a:pt x="57150" y="95250"/>
              </a:cubicBezTo>
              <a:cubicBezTo>
                <a:pt x="70129" y="117314"/>
                <a:pt x="86262" y="137957"/>
                <a:pt x="95250" y="161925"/>
              </a:cubicBezTo>
              <a:cubicBezTo>
                <a:pt x="112564" y="208095"/>
                <a:pt x="120197" y="236539"/>
                <a:pt x="142875" y="276225"/>
              </a:cubicBezTo>
              <a:cubicBezTo>
                <a:pt x="148555" y="286164"/>
                <a:pt x="155575" y="295275"/>
                <a:pt x="161925" y="304800"/>
              </a:cubicBezTo>
              <a:cubicBezTo>
                <a:pt x="158750" y="400050"/>
                <a:pt x="160314" y="495576"/>
                <a:pt x="152400" y="590550"/>
              </a:cubicBezTo>
              <a:cubicBezTo>
                <a:pt x="150732" y="610561"/>
                <a:pt x="138867" y="628392"/>
                <a:pt x="133350" y="647700"/>
              </a:cubicBezTo>
              <a:cubicBezTo>
                <a:pt x="126157" y="672874"/>
                <a:pt x="120187" y="698389"/>
                <a:pt x="114300" y="723900"/>
              </a:cubicBezTo>
              <a:cubicBezTo>
                <a:pt x="110660" y="739675"/>
                <a:pt x="109035" y="755906"/>
                <a:pt x="104775" y="771525"/>
              </a:cubicBezTo>
              <a:cubicBezTo>
                <a:pt x="97626" y="797739"/>
                <a:pt x="83115" y="842115"/>
                <a:pt x="66675" y="866775"/>
              </a:cubicBezTo>
              <a:cubicBezTo>
                <a:pt x="61694" y="874247"/>
                <a:pt x="53975" y="879475"/>
                <a:pt x="47625" y="885825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0</xdr:col>
      <xdr:colOff>504824</xdr:colOff>
      <xdr:row>3</xdr:row>
      <xdr:rowOff>104775</xdr:rowOff>
    </xdr:from>
    <xdr:to>
      <xdr:col>5</xdr:col>
      <xdr:colOff>76200</xdr:colOff>
      <xdr:row>8</xdr:row>
      <xdr:rowOff>47625</xdr:rowOff>
    </xdr:to>
    <xdr:sp macro="" textlink="">
      <xdr:nvSpPr>
        <xdr:cNvPr id="14" name="Ellipse 13">
          <a:extLst>
            <a:ext uri="{FF2B5EF4-FFF2-40B4-BE49-F238E27FC236}">
              <a16:creationId xmlns:a16="http://schemas.microsoft.com/office/drawing/2014/main" id="{3F32B2FF-4516-990D-D08C-F5CB2D710F6C}"/>
            </a:ext>
          </a:extLst>
        </xdr:cNvPr>
        <xdr:cNvSpPr/>
      </xdr:nvSpPr>
      <xdr:spPr>
        <a:xfrm>
          <a:off x="504824" y="676275"/>
          <a:ext cx="3381376" cy="895350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</xdr:col>
      <xdr:colOff>76200</xdr:colOff>
      <xdr:row>4</xdr:row>
      <xdr:rowOff>171450</xdr:rowOff>
    </xdr:from>
    <xdr:to>
      <xdr:col>5</xdr:col>
      <xdr:colOff>298310</xdr:colOff>
      <xdr:row>6</xdr:row>
      <xdr:rowOff>55010</xdr:rowOff>
    </xdr:to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BF1E0891-86BC-4E81-BF29-48895151CEB8}"/>
            </a:ext>
          </a:extLst>
        </xdr:cNvPr>
        <xdr:cNvSpPr txBox="1"/>
      </xdr:nvSpPr>
      <xdr:spPr>
        <a:xfrm>
          <a:off x="3886200" y="933450"/>
          <a:ext cx="2221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DE" sz="1100"/>
            <a:t>x</a:t>
          </a:r>
        </a:p>
      </xdr:txBody>
    </xdr:sp>
    <xdr:clientData/>
  </xdr:twoCellAnchor>
  <xdr:twoCellAnchor>
    <xdr:from>
      <xdr:col>5</xdr:col>
      <xdr:colOff>76200</xdr:colOff>
      <xdr:row>6</xdr:row>
      <xdr:rowOff>0</xdr:rowOff>
    </xdr:from>
    <xdr:to>
      <xdr:col>5</xdr:col>
      <xdr:colOff>314325</xdr:colOff>
      <xdr:row>6</xdr:row>
      <xdr:rowOff>95250</xdr:rowOff>
    </xdr:to>
    <xdr:cxnSp macro="">
      <xdr:nvCxnSpPr>
        <xdr:cNvPr id="16" name="Gerader Verbinder 15">
          <a:extLst>
            <a:ext uri="{FF2B5EF4-FFF2-40B4-BE49-F238E27FC236}">
              <a16:creationId xmlns:a16="http://schemas.microsoft.com/office/drawing/2014/main" id="{5B5CB8FE-CC57-4090-96D3-93489A39F75F}"/>
            </a:ext>
          </a:extLst>
        </xdr:cNvPr>
        <xdr:cNvCxnSpPr/>
      </xdr:nvCxnSpPr>
      <xdr:spPr>
        <a:xfrm>
          <a:off x="3886200" y="1143000"/>
          <a:ext cx="238125" cy="95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laudia titania" id="{98615A70-0C94-46D9-9809-C3CEE9704C1C}" userId="9cd864181513595d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C1D4B7B6-36CA-4149-97AA-8051E4442D38}" autoFormatId="16" applyNumberFormats="0" applyBorderFormats="0" applyFontFormats="0" applyPatternFormats="0" applyAlignmentFormats="0" applyWidthHeightFormats="0">
  <queryTableRefresh nextId="18" unboundColumnsRight="7">
    <queryTableFields count="11">
      <queryTableField id="1" name="Growth condition" tableColumnId="1"/>
      <queryTableField id="2" name="Growth Rate  [1/h].1" tableColumnId="2"/>
      <queryTableField id="3" name="Cell Length [um] " tableColumnId="3"/>
      <queryTableField id="4" name="Cell Width [um]" tableColumnId="4"/>
      <queryTableField id="5" dataBound="0" tableColumnId="5"/>
      <queryTableField id="6" dataBound="0" tableColumnId="6"/>
      <queryTableField id="7" dataBound="0" tableColumnId="7"/>
      <queryTableField id="12" dataBound="0" tableColumnId="12"/>
      <queryTableField id="11" dataBound="0" tableColumnId="11"/>
      <queryTableField id="8" dataBound="0" tableColumnId="8"/>
      <queryTableField id="15" dataBound="0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8A6A34F-2B18-46D1-AB91-037B5BEDDEB5}" autoFormatId="16" applyNumberFormats="0" applyBorderFormats="0" applyFontFormats="0" applyPatternFormats="0" applyAlignmentFormats="0" applyWidthHeightFormats="0">
  <queryTableRefresh nextId="11" unboundColumnsRight="1">
    <queryTableFields count="2">
      <queryTableField id="5" name="Column1.5" tableColumnId="5"/>
      <queryTableField id="10" dataBound="0" tableColumnId="10"/>
    </queryTableFields>
    <queryTableDeletedFields count="8">
      <deletedField name="Column1.1"/>
      <deletedField name="Column1.2"/>
      <deletedField name="Column1.3"/>
      <deletedField name="Column1.4"/>
      <deletedField name="Column1.6"/>
      <deletedField name="Column1.7"/>
      <deletedField name="Column1.8"/>
      <deletedField name="Column1.9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A44E15-1885-4BAD-9771-9733731DD5A2}" name="Heinemann_cell_length_width_data__2" displayName="Heinemann_cell_length_width_data__2" ref="A1:K25" tableType="queryTable" totalsRowShown="0">
  <autoFilter ref="A1:K25" xr:uid="{31A44E15-1885-4BAD-9771-9733731DD5A2}"/>
  <tableColumns count="11">
    <tableColumn id="1" xr3:uid="{8DEE30FE-C545-4C1E-B5FE-C86621848749}" uniqueName="1" name="Growth condition" queryTableFieldId="1" dataDxfId="10"/>
    <tableColumn id="2" xr3:uid="{13BEBAE8-C8A7-4E54-87F7-2BADEC8C25D4}" uniqueName="2" name="Growth Rate  [1/h].1" queryTableFieldId="2"/>
    <tableColumn id="3" xr3:uid="{67234470-2606-4547-AF13-B61BB0C4735E}" uniqueName="3" name="Cell Length [um] " queryTableFieldId="3"/>
    <tableColumn id="4" xr3:uid="{2A2E582D-13A5-4D73-9B44-B2F97C7E7B57}" uniqueName="4" name="Cell Width [um]" queryTableFieldId="4"/>
    <tableColumn id="5" xr3:uid="{6C636F70-6094-4608-ADB9-397A88C87196}" uniqueName="5" name="a [um]" queryTableFieldId="5">
      <calculatedColumnFormula>Heinemann_cell_length_width_data__2[[#This Row],[Cell Width '[um']]]</calculatedColumnFormula>
    </tableColumn>
    <tableColumn id="6" xr3:uid="{B29E6144-153B-43C8-8B1C-A95BE6E17B48}" uniqueName="6" name="b [um]" queryTableFieldId="6" dataDxfId="9">
      <calculatedColumnFormula>Heinemann_cell_length_width_data__2[[#This Row],[Cell Length '[um'] ]]-Heinemann_cell_length_width_data__2[[#This Row],[Cell Width '[um']]]</calculatedColumnFormula>
    </tableColumn>
    <tableColumn id="7" xr3:uid="{49ABCC3A-8D16-41FC-898A-82F743E84101}" uniqueName="7" name="Cell Surface [um2]" queryTableFieldId="7" dataDxfId="8">
      <calculatedColumnFormula>2*PI()*(Heinemann_cell_length_width_data__2[[#This Row],[a '[um']]]/2)*Heinemann_cell_length_width_data__2[[#This Row],[b '[um']]]+4*PI()*(Heinemann_cell_length_width_data__2[[#This Row],[a '[um']]]/2)^2</calculatedColumnFormula>
    </tableColumn>
    <tableColumn id="12" xr3:uid="{193ECAAE-58D2-41E3-92F8-BC91BCFC1547}" uniqueName="12" name="Cell  length-2x [um]" queryTableFieldId="12" dataDxfId="7">
      <calculatedColumnFormula>Heinemann_cell_length_width_data__2[[#This Row],[Cell Length '[um'] ]]-0.4</calculatedColumnFormula>
    </tableColumn>
    <tableColumn id="11" xr3:uid="{3B53D017-4125-4E0C-A121-61AFACAF77D2}" uniqueName="11" name="Cell width-2x [um]" queryTableFieldId="11" dataDxfId="6">
      <calculatedColumnFormula>Heinemann_cell_length_width_data__2[[#This Row],[Cell Width '[um']]]-0.4</calculatedColumnFormula>
    </tableColumn>
    <tableColumn id="8" xr3:uid="{BCB42941-9B05-4976-A177-3DEC2CD5BC2A}" uniqueName="8" name="Inner membrane surface [um2]" queryTableFieldId="8" dataDxfId="5">
      <calculatedColumnFormula>2*PI()*(Heinemann_cell_length_width_data__2[[#This Row],[Cell width-2x '[um']]]/2)*Heinemann_cell_length_width_data__2[[#This Row],[Cell  length-2x '[um']]]+4*PI()*(Heinemann_cell_length_width_data__2[[#This Row],[Cell width-2x '[um']]]/2)^2</calculatedColumnFormula>
    </tableColumn>
    <tableColumn id="15" xr3:uid="{1EF9F28C-5548-4C71-9347-CA143F899338}" uniqueName="15" name="Cell volume [fl]" queryTableFieldId="15" dataDxfId="4">
      <calculatedColumnFormula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844E39-6B65-4C9F-9F87-9DD0BA592C0C}" name="Heinemann_cell_length_width_data__34" displayName="Heinemann_cell_length_width_data__34" ref="L1:M25" tableType="queryTable" totalsRowShown="0" headerRowDxfId="3" dataDxfId="2">
  <autoFilter ref="L1:M25" xr:uid="{71844E39-6B65-4C9F-9F87-9DD0BA592C0C}"/>
  <tableColumns count="2">
    <tableColumn id="5" xr3:uid="{18E7EA0B-5A3F-4283-9D61-3FE21071CAA5}" uniqueName="5" name="single_cell_volume[fl]" queryTableFieldId="5" dataDxfId="1"/>
    <tableColumn id="10" xr3:uid="{E1B4AFAC-E374-4EA0-91DD-5A8BB80369E4}" uniqueName="10" name="S/V [1/m]" queryTableFieldId="10" dataDxfId="0">
      <calculatedColumnFormula>Heinemann_cell_length_width_data__2[[#This Row],[Inner membrane surface '[um2']]]/Heinemann_cell_length_width_data__2[[#This Row],[Cell volume '[fl']]]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4-05-14T14:00:47.47" personId="{98615A70-0C94-46D9-9809-C3CEE9704C1C}" id="{32810EBC-2683-4D6F-BD9D-B0697A60BB76}">
    <text xml:space="preserve">(um^2/fL) ???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4-05-17T06:21:39.96" personId="{98615A70-0C94-46D9-9809-C3CEE9704C1C}" id="{EB7CC82C-10DE-43E8-BE0F-87CF4E164AEF}">
    <text>See sheet "bacteria shape"</text>
  </threadedComment>
  <threadedComment ref="F1" dT="2024-05-17T06:21:55.82" personId="{98615A70-0C94-46D9-9809-C3CEE9704C1C}" id="{E63949ED-433C-4397-B24E-84CB14F9EB7B}">
    <text>See sheet "bacteria shape"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microsoft.com/office/2017/10/relationships/threadedComment" Target="../threadedComments/threadedComment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2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A2" sqref="A2"/>
    </sheetView>
  </sheetViews>
  <sheetFormatPr defaultColWidth="9.140625" defaultRowHeight="15" x14ac:dyDescent="0.25"/>
  <cols>
    <col min="1" max="1" width="26.140625" customWidth="1"/>
  </cols>
  <sheetData>
    <row r="1" spans="1:6" ht="31.5" x14ac:dyDescent="0.25">
      <c r="A1" s="1" t="s">
        <v>0</v>
      </c>
      <c r="B1" s="1">
        <v>0.11</v>
      </c>
      <c r="C1" s="1">
        <v>0.21</v>
      </c>
      <c r="D1" s="1">
        <v>0.31</v>
      </c>
      <c r="E1" s="1">
        <v>0.41</v>
      </c>
      <c r="F1" s="1">
        <v>0.49</v>
      </c>
    </row>
    <row r="2" spans="1:6" ht="15.75" x14ac:dyDescent="0.25">
      <c r="A2" s="1" t="s">
        <v>1</v>
      </c>
      <c r="B2" s="2">
        <v>5.0999044258723503</v>
      </c>
      <c r="C2" s="2">
        <v>4.6946999566616796</v>
      </c>
      <c r="D2" s="3">
        <v>4.3504287721951096</v>
      </c>
      <c r="E2" s="2">
        <v>4.05403209926871</v>
      </c>
      <c r="F2" s="2">
        <v>3.7960058580676601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93F8-ACFF-4697-A1E7-BF5FEA75B594}">
  <dimension ref="A1:M87"/>
  <sheetViews>
    <sheetView topLeftCell="D1" zoomScale="115" zoomScaleNormal="115" workbookViewId="0">
      <selection activeCell="M24" sqref="M24:M25"/>
    </sheetView>
  </sheetViews>
  <sheetFormatPr defaultColWidth="11.42578125" defaultRowHeight="15" x14ac:dyDescent="0.25"/>
  <cols>
    <col min="1" max="1" width="19" bestFit="1" customWidth="1"/>
    <col min="2" max="2" width="21.42578125" bestFit="1" customWidth="1"/>
    <col min="3" max="3" width="18.42578125" bestFit="1" customWidth="1"/>
    <col min="4" max="4" width="17.42578125" bestFit="1" customWidth="1"/>
    <col min="5" max="5" width="19" customWidth="1"/>
    <col min="7" max="7" width="16.140625" customWidth="1"/>
    <col min="8" max="8" width="21" customWidth="1"/>
    <col min="9" max="9" width="16.140625" customWidth="1"/>
    <col min="10" max="10" width="22.85546875" customWidth="1"/>
    <col min="12" max="12" width="21.140625" style="10" bestFit="1" customWidth="1"/>
  </cols>
  <sheetData>
    <row r="1" spans="1:13" x14ac:dyDescent="0.25">
      <c r="A1" t="s">
        <v>28</v>
      </c>
      <c r="B1" t="s">
        <v>29</v>
      </c>
      <c r="C1" t="s">
        <v>26</v>
      </c>
      <c r="D1" t="s">
        <v>27</v>
      </c>
      <c r="E1" t="s">
        <v>31</v>
      </c>
      <c r="F1" t="s">
        <v>32</v>
      </c>
      <c r="G1" t="s">
        <v>30</v>
      </c>
      <c r="H1" t="s">
        <v>35</v>
      </c>
      <c r="I1" t="s">
        <v>36</v>
      </c>
      <c r="J1" t="s">
        <v>33</v>
      </c>
      <c r="K1" t="s">
        <v>38</v>
      </c>
      <c r="L1" s="10" t="s">
        <v>39</v>
      </c>
      <c r="M1" s="10" t="s">
        <v>37</v>
      </c>
    </row>
    <row r="2" spans="1:13" x14ac:dyDescent="0.25">
      <c r="A2" t="s">
        <v>2</v>
      </c>
      <c r="B2">
        <v>1.61</v>
      </c>
      <c r="C2">
        <v>3.9</v>
      </c>
      <c r="D2">
        <v>1.3</v>
      </c>
      <c r="E2">
        <f>Heinemann_cell_length_width_data__2[[#This Row],[Cell Width '[um']]]</f>
        <v>1.3</v>
      </c>
      <c r="F2">
        <f>Heinemann_cell_length_width_data__2[[#This Row],[Cell Length '[um'] ]]-Heinemann_cell_length_width_data__2[[#This Row],[Cell Width '[um']]]</f>
        <v>2.5999999999999996</v>
      </c>
      <c r="G2">
        <f>2*PI()*(Heinemann_cell_length_width_data__2[[#This Row],[a '[um']]]/2)*Heinemann_cell_length_width_data__2[[#This Row],[b '[um']]]+4*PI()*(Heinemann_cell_length_width_data__2[[#This Row],[a '[um']]]/2)^2</f>
        <v>15.92787475370025</v>
      </c>
      <c r="H2">
        <f>Heinemann_cell_length_width_data__2[[#This Row],[Cell Length '[um'] ]]-0.4</f>
        <v>3.5</v>
      </c>
      <c r="I2">
        <f>Heinemann_cell_length_width_data__2[[#This Row],[Cell Width '[um']]]-0.4</f>
        <v>0.9</v>
      </c>
      <c r="J2">
        <f>2*PI()*(Heinemann_cell_length_width_data__2[[#This Row],[Cell width-2x '[um']]]/2)*Heinemann_cell_length_width_data__2[[#This Row],[Cell  length-2x '[um']]]+4*PI()*(Heinemann_cell_length_width_data__2[[#This Row],[Cell width-2x '[um']]]/2)^2</f>
        <v>12.44070690821558</v>
      </c>
      <c r="K2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4.6013860399578501</v>
      </c>
      <c r="L2" s="10">
        <v>4.4000000000000004</v>
      </c>
      <c r="M2" s="10">
        <f>Heinemann_cell_length_width_data__2[[#This Row],[Inner membrane surface '[um2']]]/Heinemann_cell_length_width_data__2[[#This Row],[Cell volume '[fl']]]</f>
        <v>2.7036868456986798</v>
      </c>
    </row>
    <row r="3" spans="1:13" x14ac:dyDescent="0.25">
      <c r="A3" t="s">
        <v>3</v>
      </c>
      <c r="B3">
        <v>1.62</v>
      </c>
      <c r="C3">
        <v>3.5</v>
      </c>
      <c r="D3">
        <v>1.4</v>
      </c>
      <c r="E3">
        <f>Heinemann_cell_length_width_data__2[[#This Row],[Cell Width '[um']]]</f>
        <v>1.4</v>
      </c>
      <c r="F3">
        <f>Heinemann_cell_length_width_data__2[[#This Row],[Cell Length '[um'] ]]-Heinemann_cell_length_width_data__2[[#This Row],[Cell Width '[um']]]</f>
        <v>2.1</v>
      </c>
      <c r="G3">
        <f>2*PI()*(Heinemann_cell_length_width_data__2[[#This Row],[a '[um']]]/2)*Heinemann_cell_length_width_data__2[[#This Row],[b '[um']]]+4*PI()*(Heinemann_cell_length_width_data__2[[#This Row],[a '[um']]]/2)^2</f>
        <v>15.393804002589986</v>
      </c>
      <c r="H3">
        <f>Heinemann_cell_length_width_data__2[[#This Row],[Cell Length '[um'] ]]-0.4</f>
        <v>3.1</v>
      </c>
      <c r="I3">
        <f>Heinemann_cell_length_width_data__2[[#This Row],[Cell Width '[um']]]-0.4</f>
        <v>0.99999999999999989</v>
      </c>
      <c r="J3">
        <f>2*PI()*(Heinemann_cell_length_width_data__2[[#This Row],[Cell width-2x '[um']]]/2)*Heinemann_cell_length_width_data__2[[#This Row],[Cell  length-2x '[um']]]+4*PI()*(Heinemann_cell_length_width_data__2[[#This Row],[Cell width-2x '[um']]]/2)^2</f>
        <v>12.88052987971815</v>
      </c>
      <c r="K3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4.6694538807856283</v>
      </c>
      <c r="L3" s="10">
        <v>3.9</v>
      </c>
      <c r="M3" s="10">
        <f>Heinemann_cell_length_width_data__2[[#This Row],[Inner membrane surface '[um2']]]/Heinemann_cell_length_width_data__2[[#This Row],[Cell volume '[fl']]]</f>
        <v>2.7584660237721463</v>
      </c>
    </row>
    <row r="4" spans="1:13" x14ac:dyDescent="0.25">
      <c r="A4" t="s">
        <v>4</v>
      </c>
      <c r="B4">
        <v>1.49</v>
      </c>
      <c r="C4">
        <v>3.5</v>
      </c>
      <c r="D4">
        <v>1.5</v>
      </c>
      <c r="E4">
        <f>Heinemann_cell_length_width_data__2[[#This Row],[Cell Width '[um']]]</f>
        <v>1.5</v>
      </c>
      <c r="F4">
        <f>Heinemann_cell_length_width_data__2[[#This Row],[Cell Length '[um'] ]]-Heinemann_cell_length_width_data__2[[#This Row],[Cell Width '[um']]]</f>
        <v>2</v>
      </c>
      <c r="G4">
        <f>2*PI()*(Heinemann_cell_length_width_data__2[[#This Row],[a '[um']]]/2)*Heinemann_cell_length_width_data__2[[#This Row],[b '[um']]]+4*PI()*(Heinemann_cell_length_width_data__2[[#This Row],[a '[um']]]/2)^2</f>
        <v>16.493361431346415</v>
      </c>
      <c r="H4">
        <f>Heinemann_cell_length_width_data__2[[#This Row],[Cell Length '[um'] ]]-0.4</f>
        <v>3.1</v>
      </c>
      <c r="I4">
        <f>Heinemann_cell_length_width_data__2[[#This Row],[Cell Width '[um']]]-0.4</f>
        <v>1.1000000000000001</v>
      </c>
      <c r="J4">
        <f>2*PI()*(Heinemann_cell_length_width_data__2[[#This Row],[Cell width-2x '[um']]]/2)*Heinemann_cell_length_width_data__2[[#This Row],[Cell  length-2x '[um']]]+4*PI()*(Heinemann_cell_length_width_data__2[[#This Row],[Cell width-2x '[um']]]/2)^2</f>
        <v>14.514158059584847</v>
      </c>
      <c r="K4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5.3014376029327757</v>
      </c>
      <c r="L4" s="10">
        <v>4</v>
      </c>
      <c r="M4" s="10">
        <f>Heinemann_cell_length_width_data__2[[#This Row],[Inner membrane surface '[um2']]]/Heinemann_cell_length_width_data__2[[#This Row],[Cell volume '[fl']]]</f>
        <v>2.7377777777777785</v>
      </c>
    </row>
    <row r="5" spans="1:13" x14ac:dyDescent="0.25">
      <c r="A5" t="s">
        <v>5</v>
      </c>
      <c r="B5">
        <v>1.28</v>
      </c>
      <c r="C5">
        <v>3.7</v>
      </c>
      <c r="D5">
        <v>1.5</v>
      </c>
      <c r="E5">
        <f>Heinemann_cell_length_width_data__2[[#This Row],[Cell Width '[um']]]</f>
        <v>1.5</v>
      </c>
      <c r="F5">
        <f>Heinemann_cell_length_width_data__2[[#This Row],[Cell Length '[um'] ]]-Heinemann_cell_length_width_data__2[[#This Row],[Cell Width '[um']]]</f>
        <v>2.2000000000000002</v>
      </c>
      <c r="G5">
        <f>2*PI()*(Heinemann_cell_length_width_data__2[[#This Row],[a '[um']]]/2)*Heinemann_cell_length_width_data__2[[#This Row],[b '[um']]]+4*PI()*(Heinemann_cell_length_width_data__2[[#This Row],[a '[um']]]/2)^2</f>
        <v>17.435839227423351</v>
      </c>
      <c r="H5">
        <f>Heinemann_cell_length_width_data__2[[#This Row],[Cell Length '[um'] ]]-0.4</f>
        <v>3.3000000000000003</v>
      </c>
      <c r="I5">
        <f>Heinemann_cell_length_width_data__2[[#This Row],[Cell Width '[um']]]-0.4</f>
        <v>1.1000000000000001</v>
      </c>
      <c r="J5">
        <f>2*PI()*(Heinemann_cell_length_width_data__2[[#This Row],[Cell width-2x '[um']]]/2)*Heinemann_cell_length_width_data__2[[#This Row],[Cell  length-2x '[um']]]+4*PI()*(Heinemann_cell_length_width_data__2[[#This Row],[Cell width-2x '[um']]]/2)^2</f>
        <v>15.205308443374602</v>
      </c>
      <c r="K5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5.6548667764616276</v>
      </c>
      <c r="L5" s="10">
        <v>4.0999999999999996</v>
      </c>
      <c r="M5" s="10">
        <f>Heinemann_cell_length_width_data__2[[#This Row],[Inner membrane surface '[um2']]]/Heinemann_cell_length_width_data__2[[#This Row],[Cell volume '[fl']]]</f>
        <v>2.6888888888888896</v>
      </c>
    </row>
    <row r="6" spans="1:13" x14ac:dyDescent="0.25">
      <c r="A6" t="s">
        <v>6</v>
      </c>
      <c r="B6">
        <v>1.26</v>
      </c>
      <c r="C6">
        <v>3.5</v>
      </c>
      <c r="D6">
        <v>1.5</v>
      </c>
      <c r="E6">
        <f>Heinemann_cell_length_width_data__2[[#This Row],[Cell Width '[um']]]</f>
        <v>1.5</v>
      </c>
      <c r="F6">
        <f>Heinemann_cell_length_width_data__2[[#This Row],[Cell Length '[um'] ]]-Heinemann_cell_length_width_data__2[[#This Row],[Cell Width '[um']]]</f>
        <v>2</v>
      </c>
      <c r="G6">
        <f>2*PI()*(Heinemann_cell_length_width_data__2[[#This Row],[a '[um']]]/2)*Heinemann_cell_length_width_data__2[[#This Row],[b '[um']]]+4*PI()*(Heinemann_cell_length_width_data__2[[#This Row],[a '[um']]]/2)^2</f>
        <v>16.493361431346415</v>
      </c>
      <c r="H6">
        <f>Heinemann_cell_length_width_data__2[[#This Row],[Cell Length '[um'] ]]-0.4</f>
        <v>3.1</v>
      </c>
      <c r="I6">
        <f>Heinemann_cell_length_width_data__2[[#This Row],[Cell Width '[um']]]-0.4</f>
        <v>1.1000000000000001</v>
      </c>
      <c r="J6">
        <f>2*PI()*(Heinemann_cell_length_width_data__2[[#This Row],[Cell width-2x '[um']]]/2)*Heinemann_cell_length_width_data__2[[#This Row],[Cell  length-2x '[um']]]+4*PI()*(Heinemann_cell_length_width_data__2[[#This Row],[Cell width-2x '[um']]]/2)^2</f>
        <v>14.514158059584847</v>
      </c>
      <c r="K6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5.3014376029327757</v>
      </c>
      <c r="L6" s="10">
        <v>3.9</v>
      </c>
      <c r="M6" s="10">
        <f>Heinemann_cell_length_width_data__2[[#This Row],[Inner membrane surface '[um2']]]/Heinemann_cell_length_width_data__2[[#This Row],[Cell volume '[fl']]]</f>
        <v>2.7377777777777785</v>
      </c>
    </row>
    <row r="7" spans="1:13" x14ac:dyDescent="0.25">
      <c r="A7" t="s">
        <v>7</v>
      </c>
      <c r="B7">
        <v>0.28999999999999998</v>
      </c>
      <c r="C7">
        <v>2.2999999999999998</v>
      </c>
      <c r="D7">
        <v>1.2</v>
      </c>
      <c r="E7">
        <f>Heinemann_cell_length_width_data__2[[#This Row],[Cell Width '[um']]]</f>
        <v>1.2</v>
      </c>
      <c r="F7">
        <f>Heinemann_cell_length_width_data__2[[#This Row],[Cell Length '[um'] ]]-Heinemann_cell_length_width_data__2[[#This Row],[Cell Width '[um']]]</f>
        <v>1.0999999999999999</v>
      </c>
      <c r="G7">
        <f>2*PI()*(Heinemann_cell_length_width_data__2[[#This Row],[a '[um']]]/2)*Heinemann_cell_length_width_data__2[[#This Row],[b '[um']]]+4*PI()*(Heinemann_cell_length_width_data__2[[#This Row],[a '[um']]]/2)^2</f>
        <v>8.6707957239078297</v>
      </c>
      <c r="H7">
        <f>Heinemann_cell_length_width_data__2[[#This Row],[Cell Length '[um'] ]]-0.4</f>
        <v>1.9</v>
      </c>
      <c r="I7">
        <f>Heinemann_cell_length_width_data__2[[#This Row],[Cell Width '[um']]]-0.4</f>
        <v>0.79999999999999993</v>
      </c>
      <c r="J7">
        <f>2*PI()*(Heinemann_cell_length_width_data__2[[#This Row],[Cell width-2x '[um']]]/2)*Heinemann_cell_length_width_data__2[[#This Row],[Cell  length-2x '[um']]]+4*PI()*(Heinemann_cell_length_width_data__2[[#This Row],[Cell width-2x '[um']]]/2)^2</f>
        <v>6.7858401317539521</v>
      </c>
      <c r="K7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2.1488493750554185</v>
      </c>
      <c r="L7" s="10">
        <v>2.4</v>
      </c>
      <c r="M7" s="10">
        <f>Heinemann_cell_length_width_data__2[[#This Row],[Inner membrane surface '[um2']]]/Heinemann_cell_length_width_data__2[[#This Row],[Cell volume '[fl']]]</f>
        <v>3.1578947368421049</v>
      </c>
    </row>
    <row r="8" spans="1:13" x14ac:dyDescent="0.25">
      <c r="A8" t="s">
        <v>8</v>
      </c>
      <c r="B8">
        <v>0.47</v>
      </c>
      <c r="C8">
        <v>2.4</v>
      </c>
      <c r="D8">
        <v>1.1000000000000001</v>
      </c>
      <c r="E8">
        <f>Heinemann_cell_length_width_data__2[[#This Row],[Cell Width '[um']]]</f>
        <v>1.1000000000000001</v>
      </c>
      <c r="F8">
        <f>Heinemann_cell_length_width_data__2[[#This Row],[Cell Length '[um'] ]]-Heinemann_cell_length_width_data__2[[#This Row],[Cell Width '[um']]]</f>
        <v>1.2999999999999998</v>
      </c>
      <c r="G8">
        <f>2*PI()*(Heinemann_cell_length_width_data__2[[#This Row],[a '[um']]]/2)*Heinemann_cell_length_width_data__2[[#This Row],[b '[um']]]+4*PI()*(Heinemann_cell_length_width_data__2[[#This Row],[a '[um']]]/2)^2</f>
        <v>8.2938046054770549</v>
      </c>
      <c r="H8">
        <f>Heinemann_cell_length_width_data__2[[#This Row],[Cell Length '[um'] ]]-0.4</f>
        <v>2</v>
      </c>
      <c r="I8">
        <f>Heinemann_cell_length_width_data__2[[#This Row],[Cell Width '[um']]]-0.4</f>
        <v>0.70000000000000007</v>
      </c>
      <c r="J8">
        <f>2*PI()*(Heinemann_cell_length_width_data__2[[#This Row],[Cell width-2x '[um']]]/2)*Heinemann_cell_length_width_data__2[[#This Row],[Cell  length-2x '[um']]]+4*PI()*(Heinemann_cell_length_width_data__2[[#This Row],[Cell width-2x '[um']]]/2)^2</f>
        <v>5.9376101152847092</v>
      </c>
      <c r="K8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1.9323412813455221</v>
      </c>
      <c r="L8" s="10">
        <v>2.4</v>
      </c>
      <c r="M8" s="10">
        <f>Heinemann_cell_length_width_data__2[[#This Row],[Inner membrane surface '[um2']]]/Heinemann_cell_length_width_data__2[[#This Row],[Cell volume '[fl']]]</f>
        <v>3.0727543693266495</v>
      </c>
    </row>
    <row r="9" spans="1:13" x14ac:dyDescent="0.25">
      <c r="A9" t="s">
        <v>9</v>
      </c>
      <c r="B9">
        <v>0.17</v>
      </c>
      <c r="C9">
        <v>2</v>
      </c>
      <c r="D9">
        <v>1.1000000000000001</v>
      </c>
      <c r="E9">
        <f>Heinemann_cell_length_width_data__2[[#This Row],[Cell Width '[um']]]</f>
        <v>1.1000000000000001</v>
      </c>
      <c r="F9">
        <f>Heinemann_cell_length_width_data__2[[#This Row],[Cell Length '[um'] ]]-Heinemann_cell_length_width_data__2[[#This Row],[Cell Width '[um']]]</f>
        <v>0.89999999999999991</v>
      </c>
      <c r="G9">
        <f>2*PI()*(Heinemann_cell_length_width_data__2[[#This Row],[a '[um']]]/2)*Heinemann_cell_length_width_data__2[[#This Row],[b '[um']]]+4*PI()*(Heinemann_cell_length_width_data__2[[#This Row],[a '[um']]]/2)^2</f>
        <v>6.9115038378975457</v>
      </c>
      <c r="H9">
        <f>Heinemann_cell_length_width_data__2[[#This Row],[Cell Length '[um'] ]]-0.4</f>
        <v>1.6</v>
      </c>
      <c r="I9">
        <f>Heinemann_cell_length_width_data__2[[#This Row],[Cell Width '[um']]]-0.4</f>
        <v>0.70000000000000007</v>
      </c>
      <c r="J9">
        <f>2*PI()*(Heinemann_cell_length_width_data__2[[#This Row],[Cell width-2x '[um']]]/2)*Heinemann_cell_length_width_data__2[[#This Row],[Cell  length-2x '[um']]]+4*PI()*(Heinemann_cell_length_width_data__2[[#This Row],[Cell width-2x '[um']]]/2)^2</f>
        <v>5.0579641722795676</v>
      </c>
      <c r="K9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1.5522085702611572</v>
      </c>
      <c r="L9" s="10">
        <v>1.9</v>
      </c>
      <c r="M9" s="10">
        <f>Heinemann_cell_length_width_data__2[[#This Row],[Inner membrane surface '[um2']]]/Heinemann_cell_length_width_data__2[[#This Row],[Cell volume '[fl']]]</f>
        <v>3.2585596221959858</v>
      </c>
    </row>
    <row r="10" spans="1:13" x14ac:dyDescent="0.25">
      <c r="A10" t="s">
        <v>10</v>
      </c>
      <c r="B10">
        <v>0.6</v>
      </c>
      <c r="C10">
        <v>3</v>
      </c>
      <c r="D10">
        <v>1.4</v>
      </c>
      <c r="E10">
        <f>Heinemann_cell_length_width_data__2[[#This Row],[Cell Width '[um']]]</f>
        <v>1.4</v>
      </c>
      <c r="F10">
        <f>Heinemann_cell_length_width_data__2[[#This Row],[Cell Length '[um'] ]]-Heinemann_cell_length_width_data__2[[#This Row],[Cell Width '[um']]]</f>
        <v>1.6</v>
      </c>
      <c r="G10">
        <f>2*PI()*(Heinemann_cell_length_width_data__2[[#This Row],[a '[um']]]/2)*Heinemann_cell_length_width_data__2[[#This Row],[b '[um']]]+4*PI()*(Heinemann_cell_length_width_data__2[[#This Row],[a '[um']]]/2)^2</f>
        <v>13.194689145077131</v>
      </c>
      <c r="H10">
        <f>Heinemann_cell_length_width_data__2[[#This Row],[Cell Length '[um'] ]]-0.4</f>
        <v>2.6</v>
      </c>
      <c r="I10">
        <f>Heinemann_cell_length_width_data__2[[#This Row],[Cell Width '[um']]]-0.4</f>
        <v>0.99999999999999989</v>
      </c>
      <c r="J10">
        <f>2*PI()*(Heinemann_cell_length_width_data__2[[#This Row],[Cell width-2x '[um']]]/2)*Heinemann_cell_length_width_data__2[[#This Row],[Cell  length-2x '[um']]]+4*PI()*(Heinemann_cell_length_width_data__2[[#This Row],[Cell width-2x '[um']]]/2)^2</f>
        <v>11.309733552923255</v>
      </c>
      <c r="K10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3.8997636806561289</v>
      </c>
      <c r="L10" s="10">
        <v>3.2</v>
      </c>
      <c r="M10" s="10">
        <f>Heinemann_cell_length_width_data__2[[#This Row],[Inner membrane surface '[um2']]]/Heinemann_cell_length_width_data__2[[#This Row],[Cell volume '[fl']]]</f>
        <v>2.9001074113856076</v>
      </c>
    </row>
    <row r="11" spans="1:13" x14ac:dyDescent="0.25">
      <c r="A11" t="s">
        <v>11</v>
      </c>
      <c r="B11">
        <v>0.67</v>
      </c>
      <c r="C11">
        <v>2.8</v>
      </c>
      <c r="D11">
        <v>1.4</v>
      </c>
      <c r="E11">
        <f>Heinemann_cell_length_width_data__2[[#This Row],[Cell Width '[um']]]</f>
        <v>1.4</v>
      </c>
      <c r="F11">
        <f>Heinemann_cell_length_width_data__2[[#This Row],[Cell Length '[um'] ]]-Heinemann_cell_length_width_data__2[[#This Row],[Cell Width '[um']]]</f>
        <v>1.4</v>
      </c>
      <c r="G11">
        <f>2*PI()*(Heinemann_cell_length_width_data__2[[#This Row],[a '[um']]]/2)*Heinemann_cell_length_width_data__2[[#This Row],[b '[um']]]+4*PI()*(Heinemann_cell_length_width_data__2[[#This Row],[a '[um']]]/2)^2</f>
        <v>12.315043202071987</v>
      </c>
      <c r="H11">
        <f>Heinemann_cell_length_width_data__2[[#This Row],[Cell Length '[um'] ]]-0.4</f>
        <v>2.4</v>
      </c>
      <c r="I11">
        <f>Heinemann_cell_length_width_data__2[[#This Row],[Cell Width '[um']]]-0.4</f>
        <v>0.99999999999999989</v>
      </c>
      <c r="J11">
        <f>2*PI()*(Heinemann_cell_length_width_data__2[[#This Row],[Cell width-2x '[um']]]/2)*Heinemann_cell_length_width_data__2[[#This Row],[Cell  length-2x '[um']]]+4*PI()*(Heinemann_cell_length_width_data__2[[#This Row],[Cell width-2x '[um']]]/2)^2</f>
        <v>10.681415022205293</v>
      </c>
      <c r="K11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3.5918876006043297</v>
      </c>
      <c r="L11" s="10">
        <v>3</v>
      </c>
      <c r="M11" s="10">
        <f>Heinemann_cell_length_width_data__2[[#This Row],[Inner membrane surface '[um2']]]/Heinemann_cell_length_width_data__2[[#This Row],[Cell volume '[fl']]]</f>
        <v>2.973760932944606</v>
      </c>
    </row>
    <row r="12" spans="1:13" x14ac:dyDescent="0.25">
      <c r="A12" t="s">
        <v>12</v>
      </c>
      <c r="B12">
        <v>0.39</v>
      </c>
      <c r="C12">
        <v>2.7</v>
      </c>
      <c r="D12">
        <v>1.3</v>
      </c>
      <c r="E12">
        <f>Heinemann_cell_length_width_data__2[[#This Row],[Cell Width '[um']]]</f>
        <v>1.3</v>
      </c>
      <c r="F12">
        <f>Heinemann_cell_length_width_data__2[[#This Row],[Cell Length '[um'] ]]-Heinemann_cell_length_width_data__2[[#This Row],[Cell Width '[um']]]</f>
        <v>1.4000000000000001</v>
      </c>
      <c r="G12">
        <f>2*PI()*(Heinemann_cell_length_width_data__2[[#This Row],[a '[um']]]/2)*Heinemann_cell_length_width_data__2[[#This Row],[b '[um']]]+4*PI()*(Heinemann_cell_length_width_data__2[[#This Row],[a '[um']]]/2)^2</f>
        <v>11.026990214100174</v>
      </c>
      <c r="H12">
        <f>Heinemann_cell_length_width_data__2[[#This Row],[Cell Length '[um'] ]]-0.4</f>
        <v>2.3000000000000003</v>
      </c>
      <c r="I12">
        <f>Heinemann_cell_length_width_data__2[[#This Row],[Cell Width '[um']]]-0.4</f>
        <v>0.9</v>
      </c>
      <c r="J12">
        <f>2*PI()*(Heinemann_cell_length_width_data__2[[#This Row],[Cell width-2x '[um']]]/2)*Heinemann_cell_length_width_data__2[[#This Row],[Cell  length-2x '[um']]]+4*PI()*(Heinemann_cell_length_width_data__2[[#This Row],[Cell width-2x '[um']]]/2)^2</f>
        <v>9.0477868423386045</v>
      </c>
      <c r="K12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3.0085985645878255</v>
      </c>
      <c r="L12" s="10">
        <v>2.9</v>
      </c>
      <c r="M12" s="10">
        <f>Heinemann_cell_length_width_data__2[[#This Row],[Inner membrane surface '[um2']]]/Heinemann_cell_length_width_data__2[[#This Row],[Cell volume '[fl']]]</f>
        <v>3.0073094326487988</v>
      </c>
    </row>
    <row r="13" spans="1:13" x14ac:dyDescent="0.25">
      <c r="A13" t="s">
        <v>13</v>
      </c>
      <c r="B13">
        <v>0.47</v>
      </c>
      <c r="C13">
        <v>2.2999999999999998</v>
      </c>
      <c r="D13">
        <v>1.2</v>
      </c>
      <c r="E13">
        <f>Heinemann_cell_length_width_data__2[[#This Row],[Cell Width '[um']]]</f>
        <v>1.2</v>
      </c>
      <c r="F13">
        <f>Heinemann_cell_length_width_data__2[[#This Row],[Cell Length '[um'] ]]-Heinemann_cell_length_width_data__2[[#This Row],[Cell Width '[um']]]</f>
        <v>1.0999999999999999</v>
      </c>
      <c r="G13">
        <f>2*PI()*(Heinemann_cell_length_width_data__2[[#This Row],[a '[um']]]/2)*Heinemann_cell_length_width_data__2[[#This Row],[b '[um']]]+4*PI()*(Heinemann_cell_length_width_data__2[[#This Row],[a '[um']]]/2)^2</f>
        <v>8.6707957239078297</v>
      </c>
      <c r="H13">
        <f>Heinemann_cell_length_width_data__2[[#This Row],[Cell Length '[um'] ]]-0.4</f>
        <v>1.9</v>
      </c>
      <c r="I13">
        <f>Heinemann_cell_length_width_data__2[[#This Row],[Cell Width '[um']]]-0.4</f>
        <v>0.79999999999999993</v>
      </c>
      <c r="J13">
        <f>2*PI()*(Heinemann_cell_length_width_data__2[[#This Row],[Cell width-2x '[um']]]/2)*Heinemann_cell_length_width_data__2[[#This Row],[Cell  length-2x '[um']]]+4*PI()*(Heinemann_cell_length_width_data__2[[#This Row],[Cell width-2x '[um']]]/2)^2</f>
        <v>6.7858401317539521</v>
      </c>
      <c r="K13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2.1488493750554185</v>
      </c>
      <c r="L13" s="10">
        <v>2.2999999999999998</v>
      </c>
      <c r="M13" s="10">
        <f>Heinemann_cell_length_width_data__2[[#This Row],[Inner membrane surface '[um2']]]/Heinemann_cell_length_width_data__2[[#This Row],[Cell volume '[fl']]]</f>
        <v>3.1578947368421049</v>
      </c>
    </row>
    <row r="14" spans="1:13" x14ac:dyDescent="0.25">
      <c r="A14" t="s">
        <v>14</v>
      </c>
      <c r="B14">
        <v>0.4</v>
      </c>
      <c r="C14">
        <v>2.2000000000000002</v>
      </c>
      <c r="D14">
        <v>1</v>
      </c>
      <c r="E14">
        <f>Heinemann_cell_length_width_data__2[[#This Row],[Cell Width '[um']]]</f>
        <v>1</v>
      </c>
      <c r="F14">
        <f>Heinemann_cell_length_width_data__2[[#This Row],[Cell Length '[um'] ]]-Heinemann_cell_length_width_data__2[[#This Row],[Cell Width '[um']]]</f>
        <v>1.2000000000000002</v>
      </c>
      <c r="G14">
        <f>2*PI()*(Heinemann_cell_length_width_data__2[[#This Row],[a '[um']]]/2)*Heinemann_cell_length_width_data__2[[#This Row],[b '[um']]]+4*PI()*(Heinemann_cell_length_width_data__2[[#This Row],[a '[um']]]/2)^2</f>
        <v>6.9115038378975449</v>
      </c>
      <c r="H14">
        <f>Heinemann_cell_length_width_data__2[[#This Row],[Cell Length '[um'] ]]-0.4</f>
        <v>1.8000000000000003</v>
      </c>
      <c r="I14">
        <f>Heinemann_cell_length_width_data__2[[#This Row],[Cell Width '[um']]]-0.4</f>
        <v>0.6</v>
      </c>
      <c r="J14">
        <f>2*PI()*(Heinemann_cell_length_width_data__2[[#This Row],[Cell width-2x '[um']]]/2)*Heinemann_cell_length_width_data__2[[#This Row],[Cell  length-2x '[um']]]+4*PI()*(Heinemann_cell_length_width_data__2[[#This Row],[Cell width-2x '[um']]]/2)^2</f>
        <v>4.5238934211693023</v>
      </c>
      <c r="K14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1.4660765716752369</v>
      </c>
      <c r="L14" s="10">
        <v>2.1</v>
      </c>
      <c r="M14" s="10">
        <f>Heinemann_cell_length_width_data__2[[#This Row],[Inner membrane surface '[um2']]]/Heinemann_cell_length_width_data__2[[#This Row],[Cell volume '[fl']]]</f>
        <v>3.0857142857142859</v>
      </c>
    </row>
    <row r="15" spans="1:13" x14ac:dyDescent="0.25">
      <c r="A15" t="s">
        <v>15</v>
      </c>
      <c r="B15">
        <v>0.49</v>
      </c>
      <c r="C15">
        <v>2.4</v>
      </c>
      <c r="D15">
        <v>1.1000000000000001</v>
      </c>
      <c r="E15">
        <f>Heinemann_cell_length_width_data__2[[#This Row],[Cell Width '[um']]]</f>
        <v>1.1000000000000001</v>
      </c>
      <c r="F15">
        <f>Heinemann_cell_length_width_data__2[[#This Row],[Cell Length '[um'] ]]-Heinemann_cell_length_width_data__2[[#This Row],[Cell Width '[um']]]</f>
        <v>1.2999999999999998</v>
      </c>
      <c r="G15">
        <f>2*PI()*(Heinemann_cell_length_width_data__2[[#This Row],[a '[um']]]/2)*Heinemann_cell_length_width_data__2[[#This Row],[b '[um']]]+4*PI()*(Heinemann_cell_length_width_data__2[[#This Row],[a '[um']]]/2)^2</f>
        <v>8.2938046054770549</v>
      </c>
      <c r="H15">
        <f>Heinemann_cell_length_width_data__2[[#This Row],[Cell Length '[um'] ]]-0.4</f>
        <v>2</v>
      </c>
      <c r="I15">
        <f>Heinemann_cell_length_width_data__2[[#This Row],[Cell Width '[um']]]-0.4</f>
        <v>0.70000000000000007</v>
      </c>
      <c r="J15">
        <f>2*PI()*(Heinemann_cell_length_width_data__2[[#This Row],[Cell width-2x '[um']]]/2)*Heinemann_cell_length_width_data__2[[#This Row],[Cell  length-2x '[um']]]+4*PI()*(Heinemann_cell_length_width_data__2[[#This Row],[Cell width-2x '[um']]]/2)^2</f>
        <v>5.9376101152847092</v>
      </c>
      <c r="K15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1.9323412813455221</v>
      </c>
      <c r="L15" s="10">
        <v>2.4</v>
      </c>
      <c r="M15" s="10">
        <f>Heinemann_cell_length_width_data__2[[#This Row],[Inner membrane surface '[um2']]]/Heinemann_cell_length_width_data__2[[#This Row],[Cell volume '[fl']]]</f>
        <v>3.0727543693266495</v>
      </c>
    </row>
    <row r="16" spans="1:13" x14ac:dyDescent="0.25">
      <c r="A16" t="s">
        <v>16</v>
      </c>
      <c r="B16">
        <v>0.55000000000000004</v>
      </c>
      <c r="C16">
        <v>2.8</v>
      </c>
      <c r="D16">
        <v>1.3</v>
      </c>
      <c r="E16">
        <f>Heinemann_cell_length_width_data__2[[#This Row],[Cell Width '[um']]]</f>
        <v>1.3</v>
      </c>
      <c r="F16">
        <f>Heinemann_cell_length_width_data__2[[#This Row],[Cell Length '[um'] ]]-Heinemann_cell_length_width_data__2[[#This Row],[Cell Width '[um']]]</f>
        <v>1.4999999999999998</v>
      </c>
      <c r="G16">
        <f>2*PI()*(Heinemann_cell_length_width_data__2[[#This Row],[a '[um']]]/2)*Heinemann_cell_length_width_data__2[[#This Row],[b '[um']]]+4*PI()*(Heinemann_cell_length_width_data__2[[#This Row],[a '[um']]]/2)^2</f>
        <v>11.435397259066846</v>
      </c>
      <c r="H16">
        <f>Heinemann_cell_length_width_data__2[[#This Row],[Cell Length '[um'] ]]-0.4</f>
        <v>2.4</v>
      </c>
      <c r="I16">
        <f>Heinemann_cell_length_width_data__2[[#This Row],[Cell Width '[um']]]-0.4</f>
        <v>0.9</v>
      </c>
      <c r="J16">
        <f>2*PI()*(Heinemann_cell_length_width_data__2[[#This Row],[Cell width-2x '[um']]]/2)*Heinemann_cell_length_width_data__2[[#This Row],[Cell  length-2x '[um']]]+4*PI()*(Heinemann_cell_length_width_data__2[[#This Row],[Cell width-2x '[um']]]/2)^2</f>
        <v>9.3305301811616861</v>
      </c>
      <c r="K16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3.141330854201994</v>
      </c>
      <c r="L16" s="10">
        <v>2.9</v>
      </c>
      <c r="M16" s="10">
        <f>Heinemann_cell_length_width_data__2[[#This Row],[Inner membrane surface '[um2']]]/Heinemann_cell_length_width_data__2[[#This Row],[Cell volume '[fl']]]</f>
        <v>2.9702475206267192</v>
      </c>
    </row>
    <row r="17" spans="1:13" x14ac:dyDescent="0.25">
      <c r="A17" t="s">
        <v>17</v>
      </c>
      <c r="B17">
        <v>0.65</v>
      </c>
      <c r="C17">
        <v>2.6</v>
      </c>
      <c r="D17">
        <v>1.3</v>
      </c>
      <c r="E17">
        <f>Heinemann_cell_length_width_data__2[[#This Row],[Cell Width '[um']]]</f>
        <v>1.3</v>
      </c>
      <c r="F17">
        <f>Heinemann_cell_length_width_data__2[[#This Row],[Cell Length '[um'] ]]-Heinemann_cell_length_width_data__2[[#This Row],[Cell Width '[um']]]</f>
        <v>1.3</v>
      </c>
      <c r="G17">
        <f>2*PI()*(Heinemann_cell_length_width_data__2[[#This Row],[a '[um']]]/2)*Heinemann_cell_length_width_data__2[[#This Row],[b '[um']]]+4*PI()*(Heinemann_cell_length_width_data__2[[#This Row],[a '[um']]]/2)^2</f>
        <v>10.618583169133501</v>
      </c>
      <c r="H17">
        <f>Heinemann_cell_length_width_data__2[[#This Row],[Cell Length '[um'] ]]-0.4</f>
        <v>2.2000000000000002</v>
      </c>
      <c r="I17">
        <f>Heinemann_cell_length_width_data__2[[#This Row],[Cell Width '[um']]]-0.4</f>
        <v>0.9</v>
      </c>
      <c r="J17">
        <f>2*PI()*(Heinemann_cell_length_width_data__2[[#This Row],[Cell width-2x '[um']]]/2)*Heinemann_cell_length_width_data__2[[#This Row],[Cell  length-2x '[um']]]+4*PI()*(Heinemann_cell_length_width_data__2[[#This Row],[Cell width-2x '[um']]]/2)^2</f>
        <v>8.765043503515523</v>
      </c>
      <c r="K17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2.8758662749736565</v>
      </c>
      <c r="L17" s="10">
        <v>2.8</v>
      </c>
      <c r="M17" s="10">
        <f>Heinemann_cell_length_width_data__2[[#This Row],[Inner membrane surface '[um2']]]/Heinemann_cell_length_width_data__2[[#This Row],[Cell volume '[fl']]]</f>
        <v>3.0477924442421482</v>
      </c>
    </row>
    <row r="18" spans="1:13" x14ac:dyDescent="0.25">
      <c r="A18" t="s">
        <v>18</v>
      </c>
      <c r="B18">
        <v>0.5</v>
      </c>
      <c r="C18">
        <v>2.9</v>
      </c>
      <c r="D18">
        <v>1.3</v>
      </c>
      <c r="E18">
        <f>Heinemann_cell_length_width_data__2[[#This Row],[Cell Width '[um']]]</f>
        <v>1.3</v>
      </c>
      <c r="F18">
        <f>Heinemann_cell_length_width_data__2[[#This Row],[Cell Length '[um'] ]]-Heinemann_cell_length_width_data__2[[#This Row],[Cell Width '[um']]]</f>
        <v>1.5999999999999999</v>
      </c>
      <c r="G18">
        <f>2*PI()*(Heinemann_cell_length_width_data__2[[#This Row],[a '[um']]]/2)*Heinemann_cell_length_width_data__2[[#This Row],[b '[um']]]+4*PI()*(Heinemann_cell_length_width_data__2[[#This Row],[a '[um']]]/2)^2</f>
        <v>11.843804304033519</v>
      </c>
      <c r="H18">
        <f>Heinemann_cell_length_width_data__2[[#This Row],[Cell Length '[um'] ]]-0.4</f>
        <v>2.5</v>
      </c>
      <c r="I18">
        <f>Heinemann_cell_length_width_data__2[[#This Row],[Cell Width '[um']]]-0.4</f>
        <v>0.9</v>
      </c>
      <c r="J18">
        <f>2*PI()*(Heinemann_cell_length_width_data__2[[#This Row],[Cell width-2x '[um']]]/2)*Heinemann_cell_length_width_data__2[[#This Row],[Cell  length-2x '[um']]]+4*PI()*(Heinemann_cell_length_width_data__2[[#This Row],[Cell width-2x '[um']]]/2)^2</f>
        <v>9.6132735199847676</v>
      </c>
      <c r="K18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3.2740631438161625</v>
      </c>
      <c r="L18" s="10">
        <v>3.1</v>
      </c>
      <c r="M18" s="10">
        <f>Heinemann_cell_length_width_data__2[[#This Row],[Inner membrane surface '[um2']]]/Heinemann_cell_length_width_data__2[[#This Row],[Cell volume '[fl']]]</f>
        <v>2.9361906284983212</v>
      </c>
    </row>
    <row r="19" spans="1:13" x14ac:dyDescent="0.25">
      <c r="A19" t="s">
        <v>19</v>
      </c>
      <c r="B19">
        <v>0.65</v>
      </c>
      <c r="C19">
        <v>2.7</v>
      </c>
      <c r="D19">
        <v>1.3</v>
      </c>
      <c r="E19">
        <f>Heinemann_cell_length_width_data__2[[#This Row],[Cell Width '[um']]]</f>
        <v>1.3</v>
      </c>
      <c r="F19">
        <f>Heinemann_cell_length_width_data__2[[#This Row],[Cell Length '[um'] ]]-Heinemann_cell_length_width_data__2[[#This Row],[Cell Width '[um']]]</f>
        <v>1.4000000000000001</v>
      </c>
      <c r="G19">
        <f>2*PI()*(Heinemann_cell_length_width_data__2[[#This Row],[a '[um']]]/2)*Heinemann_cell_length_width_data__2[[#This Row],[b '[um']]]+4*PI()*(Heinemann_cell_length_width_data__2[[#This Row],[a '[um']]]/2)^2</f>
        <v>11.026990214100174</v>
      </c>
      <c r="H19">
        <f>Heinemann_cell_length_width_data__2[[#This Row],[Cell Length '[um'] ]]-0.4</f>
        <v>2.3000000000000003</v>
      </c>
      <c r="I19">
        <f>Heinemann_cell_length_width_data__2[[#This Row],[Cell Width '[um']]]-0.4</f>
        <v>0.9</v>
      </c>
      <c r="J19">
        <f>2*PI()*(Heinemann_cell_length_width_data__2[[#This Row],[Cell width-2x '[um']]]/2)*Heinemann_cell_length_width_data__2[[#This Row],[Cell  length-2x '[um']]]+4*PI()*(Heinemann_cell_length_width_data__2[[#This Row],[Cell width-2x '[um']]]/2)^2</f>
        <v>9.0477868423386045</v>
      </c>
      <c r="K19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3.0085985645878255</v>
      </c>
      <c r="L19" s="10">
        <v>2.8</v>
      </c>
      <c r="M19" s="10">
        <f>Heinemann_cell_length_width_data__2[[#This Row],[Inner membrane surface '[um2']]]/Heinemann_cell_length_width_data__2[[#This Row],[Cell volume '[fl']]]</f>
        <v>3.0073094326487988</v>
      </c>
    </row>
    <row r="20" spans="1:13" x14ac:dyDescent="0.25">
      <c r="A20" t="s">
        <v>22</v>
      </c>
      <c r="B20">
        <v>0.5</v>
      </c>
      <c r="C20">
        <v>2.5</v>
      </c>
      <c r="D20">
        <v>1.2</v>
      </c>
      <c r="E20">
        <f>Heinemann_cell_length_width_data__2[[#This Row],[Cell Width '[um']]]</f>
        <v>1.2</v>
      </c>
      <c r="F20">
        <f>Heinemann_cell_length_width_data__2[[#This Row],[Cell Length '[um'] ]]-Heinemann_cell_length_width_data__2[[#This Row],[Cell Width '[um']]]</f>
        <v>1.3</v>
      </c>
      <c r="G20">
        <f>2*PI()*(Heinemann_cell_length_width_data__2[[#This Row],[a '[um']]]/2)*Heinemann_cell_length_width_data__2[[#This Row],[b '[um']]]+4*PI()*(Heinemann_cell_length_width_data__2[[#This Row],[a '[um']]]/2)^2</f>
        <v>9.4247779607693793</v>
      </c>
      <c r="H20">
        <f>Heinemann_cell_length_width_data__2[[#This Row],[Cell Length '[um'] ]]-0.4</f>
        <v>2.1</v>
      </c>
      <c r="I20">
        <f>Heinemann_cell_length_width_data__2[[#This Row],[Cell Width '[um']]]-0.4</f>
        <v>0.79999999999999993</v>
      </c>
      <c r="J20">
        <f>2*PI()*(Heinemann_cell_length_width_data__2[[#This Row],[Cell width-2x '[um']]]/2)*Heinemann_cell_length_width_data__2[[#This Row],[Cell  length-2x '[um']]]+4*PI()*(Heinemann_cell_length_width_data__2[[#This Row],[Cell width-2x '[um']]]/2)^2</f>
        <v>7.2884949563283197</v>
      </c>
      <c r="K20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2.3750440461138838</v>
      </c>
      <c r="L20" s="10">
        <v>2.6</v>
      </c>
      <c r="M20" s="10">
        <f>Heinemann_cell_length_width_data__2[[#This Row],[Inner membrane surface '[um2']]]/Heinemann_cell_length_width_data__2[[#This Row],[Cell volume '[fl']]]</f>
        <v>3.0687830687830684</v>
      </c>
    </row>
    <row r="21" spans="1:13" x14ac:dyDescent="0.25">
      <c r="A21" t="s">
        <v>23</v>
      </c>
      <c r="B21">
        <v>0.35</v>
      </c>
      <c r="C21">
        <v>2.4</v>
      </c>
      <c r="D21">
        <v>1</v>
      </c>
      <c r="E21">
        <f>Heinemann_cell_length_width_data__2[[#This Row],[Cell Width '[um']]]</f>
        <v>1</v>
      </c>
      <c r="F21">
        <f>Heinemann_cell_length_width_data__2[[#This Row],[Cell Length '[um'] ]]-Heinemann_cell_length_width_data__2[[#This Row],[Cell Width '[um']]]</f>
        <v>1.4</v>
      </c>
      <c r="G21">
        <f>2*PI()*(Heinemann_cell_length_width_data__2[[#This Row],[a '[um']]]/2)*Heinemann_cell_length_width_data__2[[#This Row],[b '[um']]]+4*PI()*(Heinemann_cell_length_width_data__2[[#This Row],[a '[um']]]/2)^2</f>
        <v>7.5398223686155035</v>
      </c>
      <c r="H21">
        <f>Heinemann_cell_length_width_data__2[[#This Row],[Cell Length '[um'] ]]-0.4</f>
        <v>2</v>
      </c>
      <c r="I21">
        <f>Heinemann_cell_length_width_data__2[[#This Row],[Cell Width '[um']]]-0.4</f>
        <v>0.6</v>
      </c>
      <c r="J21">
        <f>2*PI()*(Heinemann_cell_length_width_data__2[[#This Row],[Cell width-2x '[um']]]/2)*Heinemann_cell_length_width_data__2[[#This Row],[Cell  length-2x '[um']]]+4*PI()*(Heinemann_cell_length_width_data__2[[#This Row],[Cell width-2x '[um']]]/2)^2</f>
        <v>4.9008845396000771</v>
      </c>
      <c r="K21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1.6231562043547263</v>
      </c>
      <c r="L21" s="10">
        <v>2.4</v>
      </c>
      <c r="M21" s="10">
        <f>Heinemann_cell_length_width_data__2[[#This Row],[Inner membrane surface '[um2']]]/Heinemann_cell_length_width_data__2[[#This Row],[Cell volume '[fl']]]</f>
        <v>3.0193548387096776</v>
      </c>
    </row>
    <row r="22" spans="1:13" x14ac:dyDescent="0.25">
      <c r="A22" t="s">
        <v>24</v>
      </c>
      <c r="B22">
        <v>0.2</v>
      </c>
      <c r="C22">
        <v>2.2000000000000002</v>
      </c>
      <c r="D22">
        <v>1</v>
      </c>
      <c r="E22">
        <f>Heinemann_cell_length_width_data__2[[#This Row],[Cell Width '[um']]]</f>
        <v>1</v>
      </c>
      <c r="F22">
        <f>Heinemann_cell_length_width_data__2[[#This Row],[Cell Length '[um'] ]]-Heinemann_cell_length_width_data__2[[#This Row],[Cell Width '[um']]]</f>
        <v>1.2000000000000002</v>
      </c>
      <c r="G22">
        <f>2*PI()*(Heinemann_cell_length_width_data__2[[#This Row],[a '[um']]]/2)*Heinemann_cell_length_width_data__2[[#This Row],[b '[um']]]+4*PI()*(Heinemann_cell_length_width_data__2[[#This Row],[a '[um']]]/2)^2</f>
        <v>6.9115038378975449</v>
      </c>
      <c r="H22">
        <f>Heinemann_cell_length_width_data__2[[#This Row],[Cell Length '[um'] ]]-0.4</f>
        <v>1.8000000000000003</v>
      </c>
      <c r="I22">
        <f>Heinemann_cell_length_width_data__2[[#This Row],[Cell Width '[um']]]-0.4</f>
        <v>0.6</v>
      </c>
      <c r="J22">
        <f>2*PI()*(Heinemann_cell_length_width_data__2[[#This Row],[Cell width-2x '[um']]]/2)*Heinemann_cell_length_width_data__2[[#This Row],[Cell  length-2x '[um']]]+4*PI()*(Heinemann_cell_length_width_data__2[[#This Row],[Cell width-2x '[um']]]/2)^2</f>
        <v>4.5238934211693023</v>
      </c>
      <c r="K22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1.4660765716752369</v>
      </c>
      <c r="L22" s="10">
        <v>2.2000000000000002</v>
      </c>
      <c r="M22" s="10">
        <f>Heinemann_cell_length_width_data__2[[#This Row],[Inner membrane surface '[um2']]]/Heinemann_cell_length_width_data__2[[#This Row],[Cell volume '[fl']]]</f>
        <v>3.0857142857142859</v>
      </c>
    </row>
    <row r="23" spans="1:13" x14ac:dyDescent="0.25">
      <c r="A23" t="s">
        <v>25</v>
      </c>
      <c r="B23">
        <v>0.12</v>
      </c>
      <c r="C23">
        <v>2.1</v>
      </c>
      <c r="D23">
        <v>1.1000000000000001</v>
      </c>
      <c r="E23">
        <f>Heinemann_cell_length_width_data__2[[#This Row],[Cell Width '[um']]]</f>
        <v>1.1000000000000001</v>
      </c>
      <c r="F23">
        <f>Heinemann_cell_length_width_data__2[[#This Row],[Cell Length '[um'] ]]-Heinemann_cell_length_width_data__2[[#This Row],[Cell Width '[um']]]</f>
        <v>1</v>
      </c>
      <c r="G23">
        <f>2*PI()*(Heinemann_cell_length_width_data__2[[#This Row],[a '[um']]]/2)*Heinemann_cell_length_width_data__2[[#This Row],[b '[um']]]+4*PI()*(Heinemann_cell_length_width_data__2[[#This Row],[a '[um']]]/2)^2</f>
        <v>7.2570790297924237</v>
      </c>
      <c r="H23">
        <f>Heinemann_cell_length_width_data__2[[#This Row],[Cell Length '[um'] ]]-0.4</f>
        <v>1.7000000000000002</v>
      </c>
      <c r="I23">
        <f>Heinemann_cell_length_width_data__2[[#This Row],[Cell Width '[um']]]-0.4</f>
        <v>0.70000000000000007</v>
      </c>
      <c r="J23">
        <f>2*PI()*(Heinemann_cell_length_width_data__2[[#This Row],[Cell width-2x '[um']]]/2)*Heinemann_cell_length_width_data__2[[#This Row],[Cell  length-2x '[um']]]+4*PI()*(Heinemann_cell_length_width_data__2[[#This Row],[Cell width-2x '[um']]]/2)^2</f>
        <v>5.2778756580308528</v>
      </c>
      <c r="K23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1.6472417480322485</v>
      </c>
      <c r="L23" s="10">
        <v>2.1</v>
      </c>
      <c r="M23" s="10">
        <f>Heinemann_cell_length_width_data__2[[#This Row],[Inner membrane surface '[um2']]]/Heinemann_cell_length_width_data__2[[#This Row],[Cell volume '[fl']]]</f>
        <v>3.2040686586141125</v>
      </c>
    </row>
    <row r="24" spans="1:13" x14ac:dyDescent="0.25">
      <c r="A24" t="s">
        <v>20</v>
      </c>
      <c r="B24">
        <v>0</v>
      </c>
      <c r="C24">
        <v>1.6</v>
      </c>
      <c r="D24">
        <v>1.1000000000000001</v>
      </c>
      <c r="E24">
        <f>Heinemann_cell_length_width_data__2[[#This Row],[Cell Width '[um']]]</f>
        <v>1.1000000000000001</v>
      </c>
      <c r="F24">
        <f>Heinemann_cell_length_width_data__2[[#This Row],[Cell Length '[um'] ]]-Heinemann_cell_length_width_data__2[[#This Row],[Cell Width '[um']]]</f>
        <v>0.5</v>
      </c>
      <c r="G24">
        <f>2*PI()*(Heinemann_cell_length_width_data__2[[#This Row],[a '[um']]]/2)*Heinemann_cell_length_width_data__2[[#This Row],[b '[um']]]+4*PI()*(Heinemann_cell_length_width_data__2[[#This Row],[a '[um']]]/2)^2</f>
        <v>5.5292030703180366</v>
      </c>
      <c r="H24">
        <f>Heinemann_cell_length_width_data__2[[#This Row],[Cell Length '[um'] ]]-0.4</f>
        <v>1.2000000000000002</v>
      </c>
      <c r="I24">
        <f>Heinemann_cell_length_width_data__2[[#This Row],[Cell Width '[um']]]-0.4</f>
        <v>0.70000000000000007</v>
      </c>
      <c r="J24">
        <f>2*PI()*(Heinemann_cell_length_width_data__2[[#This Row],[Cell width-2x '[um']]]/2)*Heinemann_cell_length_width_data__2[[#This Row],[Cell  length-2x '[um']]]+4*PI()*(Heinemann_cell_length_width_data__2[[#This Row],[Cell width-2x '[um']]]/2)^2</f>
        <v>4.1783182292744252</v>
      </c>
      <c r="K24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1.1720758591767924</v>
      </c>
      <c r="L24" s="10">
        <v>1.5</v>
      </c>
      <c r="M24" s="10">
        <f>Heinemann_cell_length_width_data__2[[#This Row],[Inner membrane surface '[um2']]]/Heinemann_cell_length_width_data__2[[#This Row],[Cell volume '[fl']]]</f>
        <v>3.5648872012508366</v>
      </c>
    </row>
    <row r="25" spans="1:13" x14ac:dyDescent="0.25">
      <c r="A25" t="s">
        <v>21</v>
      </c>
      <c r="B25">
        <v>0</v>
      </c>
      <c r="C25">
        <v>1.7</v>
      </c>
      <c r="D25">
        <v>1.4</v>
      </c>
      <c r="E25">
        <f>Heinemann_cell_length_width_data__2[[#This Row],[Cell Width '[um']]]</f>
        <v>1.4</v>
      </c>
      <c r="F25">
        <f>Heinemann_cell_length_width_data__2[[#This Row],[Cell Length '[um'] ]]-Heinemann_cell_length_width_data__2[[#This Row],[Cell Width '[um']]]</f>
        <v>0.30000000000000004</v>
      </c>
      <c r="G25">
        <f>2*PI()*(Heinemann_cell_length_width_data__2[[#This Row],[a '[um']]]/2)*Heinemann_cell_length_width_data__2[[#This Row],[b '[um']]]+4*PI()*(Heinemann_cell_length_width_data__2[[#This Row],[a '[um']]]/2)^2</f>
        <v>7.4769905155437062</v>
      </c>
      <c r="H25">
        <f>Heinemann_cell_length_width_data__2[[#This Row],[Cell Length '[um'] ]]-0.4</f>
        <v>1.2999999999999998</v>
      </c>
      <c r="I25">
        <f>Heinemann_cell_length_width_data__2[[#This Row],[Cell Width '[um']]]-0.4</f>
        <v>0.99999999999999989</v>
      </c>
      <c r="J25">
        <f>2*PI()*(Heinemann_cell_length_width_data__2[[#This Row],[Cell width-2x '[um']]]/2)*Heinemann_cell_length_width_data__2[[#This Row],[Cell  length-2x '[um']]]+4*PI()*(Heinemann_cell_length_width_data__2[[#This Row],[Cell width-2x '[um']]]/2)^2</f>
        <v>7.2256631032565224</v>
      </c>
      <c r="K25">
        <f>Heinemann_cell_length_width_data__2[[#This Row],[Cell Width '[um']]]^2*PI()/4*(Heinemann_cell_length_width_data__2[[#This Row],[Cell Length '[um'] ]]-Heinemann_cell_length_width_data__2[[#This Row],[Cell Width '[um']]])+(PI()*Heinemann_cell_length_width_data__2[[#This Row],[Cell Width '[um']]]^3/6)</f>
        <v>1.8985691603194312</v>
      </c>
      <c r="L25" s="10">
        <v>1.6</v>
      </c>
      <c r="M25" s="10">
        <f>Heinemann_cell_length_width_data__2[[#This Row],[Inner membrane surface '[um2']]]/Heinemann_cell_length_width_data__2[[#This Row],[Cell volume '[fl']]]</f>
        <v>3.80584666298952</v>
      </c>
    </row>
    <row r="63" spans="1:3" x14ac:dyDescent="0.25">
      <c r="A63" s="4" t="s">
        <v>28</v>
      </c>
      <c r="B63" s="5" t="s">
        <v>29</v>
      </c>
      <c r="C63" s="5" t="s">
        <v>33</v>
      </c>
    </row>
    <row r="64" spans="1:3" x14ac:dyDescent="0.25">
      <c r="A64" s="6" t="s">
        <v>2</v>
      </c>
      <c r="B64" s="7">
        <v>1.61</v>
      </c>
      <c r="C64" s="7">
        <v>12.44070690821558</v>
      </c>
    </row>
    <row r="65" spans="1:3" x14ac:dyDescent="0.25">
      <c r="A65" s="8" t="s">
        <v>3</v>
      </c>
      <c r="B65" s="9">
        <v>1.62</v>
      </c>
      <c r="C65" s="9">
        <v>12.88052987971815</v>
      </c>
    </row>
    <row r="66" spans="1:3" x14ac:dyDescent="0.25">
      <c r="A66" s="6" t="s">
        <v>4</v>
      </c>
      <c r="B66" s="7">
        <v>1.49</v>
      </c>
      <c r="C66" s="7">
        <v>14.514158059584847</v>
      </c>
    </row>
    <row r="67" spans="1:3" x14ac:dyDescent="0.25">
      <c r="A67" s="8" t="s">
        <v>5</v>
      </c>
      <c r="B67" s="9">
        <v>1.28</v>
      </c>
      <c r="C67" s="9">
        <v>15.205308443374602</v>
      </c>
    </row>
    <row r="68" spans="1:3" x14ac:dyDescent="0.25">
      <c r="A68" s="6" t="s">
        <v>6</v>
      </c>
      <c r="B68" s="7">
        <v>1.26</v>
      </c>
      <c r="C68" s="7">
        <v>14.514158059584847</v>
      </c>
    </row>
    <row r="69" spans="1:3" x14ac:dyDescent="0.25">
      <c r="A69" s="8" t="s">
        <v>7</v>
      </c>
      <c r="B69" s="9">
        <v>0.28999999999999998</v>
      </c>
      <c r="C69" s="9">
        <v>6.7858401317539521</v>
      </c>
    </row>
    <row r="70" spans="1:3" x14ac:dyDescent="0.25">
      <c r="A70" s="6" t="s">
        <v>8</v>
      </c>
      <c r="B70" s="7">
        <v>0.47</v>
      </c>
      <c r="C70" s="7">
        <v>5.9376101152847092</v>
      </c>
    </row>
    <row r="71" spans="1:3" x14ac:dyDescent="0.25">
      <c r="A71" s="8" t="s">
        <v>9</v>
      </c>
      <c r="B71" s="9">
        <v>0.17</v>
      </c>
      <c r="C71" s="9">
        <v>5.0579641722795676</v>
      </c>
    </row>
    <row r="72" spans="1:3" x14ac:dyDescent="0.25">
      <c r="A72" s="6" t="s">
        <v>10</v>
      </c>
      <c r="B72" s="7">
        <v>0.6</v>
      </c>
      <c r="C72" s="7">
        <v>11.309733552923255</v>
      </c>
    </row>
    <row r="73" spans="1:3" x14ac:dyDescent="0.25">
      <c r="A73" s="8" t="s">
        <v>11</v>
      </c>
      <c r="B73" s="9">
        <v>0.67</v>
      </c>
      <c r="C73" s="9">
        <v>10.681415022205293</v>
      </c>
    </row>
    <row r="74" spans="1:3" x14ac:dyDescent="0.25">
      <c r="A74" s="6" t="s">
        <v>12</v>
      </c>
      <c r="B74" s="7">
        <v>0.39</v>
      </c>
      <c r="C74" s="7">
        <v>9.0477868423386045</v>
      </c>
    </row>
    <row r="75" spans="1:3" x14ac:dyDescent="0.25">
      <c r="A75" s="8" t="s">
        <v>13</v>
      </c>
      <c r="B75" s="9">
        <v>0.47</v>
      </c>
      <c r="C75" s="9">
        <v>6.7858401317539521</v>
      </c>
    </row>
    <row r="76" spans="1:3" x14ac:dyDescent="0.25">
      <c r="A76" s="6" t="s">
        <v>14</v>
      </c>
      <c r="B76" s="7">
        <v>0.4</v>
      </c>
      <c r="C76" s="7">
        <v>4.5238934211693023</v>
      </c>
    </row>
    <row r="77" spans="1:3" x14ac:dyDescent="0.25">
      <c r="A77" s="8" t="s">
        <v>15</v>
      </c>
      <c r="B77" s="9">
        <v>0.49</v>
      </c>
      <c r="C77" s="9">
        <v>5.9376101152847092</v>
      </c>
    </row>
    <row r="78" spans="1:3" x14ac:dyDescent="0.25">
      <c r="A78" s="6" t="s">
        <v>16</v>
      </c>
      <c r="B78" s="7">
        <v>0.55000000000000004</v>
      </c>
      <c r="C78" s="7">
        <v>9.3305301811616861</v>
      </c>
    </row>
    <row r="79" spans="1:3" x14ac:dyDescent="0.25">
      <c r="A79" s="8" t="s">
        <v>17</v>
      </c>
      <c r="B79" s="9">
        <v>0.65</v>
      </c>
      <c r="C79" s="9">
        <v>8.765043503515523</v>
      </c>
    </row>
    <row r="80" spans="1:3" x14ac:dyDescent="0.25">
      <c r="A80" s="6" t="s">
        <v>18</v>
      </c>
      <c r="B80" s="7">
        <v>0.5</v>
      </c>
      <c r="C80" s="7">
        <v>9.6132735199847676</v>
      </c>
    </row>
    <row r="81" spans="1:3" x14ac:dyDescent="0.25">
      <c r="A81" s="8" t="s">
        <v>19</v>
      </c>
      <c r="B81" s="9">
        <v>0.65</v>
      </c>
      <c r="C81" s="9">
        <v>9.0477868423386045</v>
      </c>
    </row>
    <row r="82" spans="1:3" x14ac:dyDescent="0.25">
      <c r="A82" s="6" t="s">
        <v>22</v>
      </c>
      <c r="B82" s="7">
        <v>0.5</v>
      </c>
      <c r="C82" s="7">
        <v>7.2884949563283197</v>
      </c>
    </row>
    <row r="83" spans="1:3" x14ac:dyDescent="0.25">
      <c r="A83" s="8" t="s">
        <v>23</v>
      </c>
      <c r="B83" s="9">
        <v>0.35</v>
      </c>
      <c r="C83" s="9">
        <v>4.9008845396000771</v>
      </c>
    </row>
    <row r="84" spans="1:3" x14ac:dyDescent="0.25">
      <c r="A84" s="6" t="s">
        <v>24</v>
      </c>
      <c r="B84" s="7">
        <v>0.2</v>
      </c>
      <c r="C84" s="7">
        <v>4.5238934211693023</v>
      </c>
    </row>
    <row r="85" spans="1:3" x14ac:dyDescent="0.25">
      <c r="A85" s="8" t="s">
        <v>25</v>
      </c>
      <c r="B85" s="9">
        <v>0.12</v>
      </c>
      <c r="C85" s="9">
        <v>5.2778756580308528</v>
      </c>
    </row>
    <row r="86" spans="1:3" x14ac:dyDescent="0.25">
      <c r="A86" s="6" t="s">
        <v>20</v>
      </c>
      <c r="B86" s="7">
        <v>0</v>
      </c>
      <c r="C86" s="7">
        <v>4.1783182292744252</v>
      </c>
    </row>
    <row r="87" spans="1:3" x14ac:dyDescent="0.25">
      <c r="A87" s="8" t="s">
        <v>21</v>
      </c>
      <c r="B87" s="9">
        <v>0</v>
      </c>
      <c r="C87" s="9">
        <v>7.2256631032565224</v>
      </c>
    </row>
  </sheetData>
  <phoneticPr fontId="3" type="noConversion"/>
  <pageMargins left="0.7" right="0.7" top="0.78740157499999996" bottom="0.78740157499999996" header="0.3" footer="0.3"/>
  <pageSetup orientation="portrait" r:id="rId1"/>
  <drawing r:id="rId2"/>
  <legacyDrawing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AA5B-FD80-4B6A-852F-E10A9F9DE56C}">
  <dimension ref="G5:G6"/>
  <sheetViews>
    <sheetView tabSelected="1" workbookViewId="0">
      <selection activeCell="G7" sqref="G7"/>
    </sheetView>
  </sheetViews>
  <sheetFormatPr defaultColWidth="11.42578125" defaultRowHeight="15" x14ac:dyDescent="0.25"/>
  <sheetData>
    <row r="5" spans="7:7" x14ac:dyDescent="0.25">
      <c r="G5" t="s">
        <v>34</v>
      </c>
    </row>
    <row r="6" spans="7:7" x14ac:dyDescent="0.25">
      <c r="G6">
        <v>0.2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710F43-1BE2-4A89-9254-C574AB54EF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Szenk_Paper</vt:lpstr>
      <vt:lpstr>Heinemann_paper</vt:lpstr>
      <vt:lpstr>bacteria shape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titania</dc:creator>
  <cp:lastModifiedBy>Titania Sugiarto</cp:lastModifiedBy>
  <dcterms:created xsi:type="dcterms:W3CDTF">2015-06-05T18:19:34Z</dcterms:created>
  <dcterms:modified xsi:type="dcterms:W3CDTF">2026-05-21T13:54:29Z</dcterms:modified>
</cp:coreProperties>
</file>